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2.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3.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esumen de exportación" sheetId="1" r:id="rId5"/>
    <sheet name="2015" sheetId="2" r:id="rId6"/>
    <sheet name="2016" sheetId="3" r:id="rId7"/>
    <sheet name="2017" sheetId="4" r:id="rId8"/>
    <sheet name="2018" sheetId="5" r:id="rId9"/>
    <sheet name="2019" sheetId="6" r:id="rId10"/>
    <sheet name="2020" sheetId="7" r:id="rId11"/>
    <sheet name="2021" sheetId="8" r:id="rId12"/>
    <sheet name="2022" sheetId="9" r:id="rId13"/>
    <sheet name="2023" sheetId="10" r:id="rId14"/>
    <sheet name="2024" sheetId="11" r:id="rId15"/>
    <sheet name="2025" sheetId="12" r:id="rId16"/>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<sst xmlns="http://schemas.openxmlformats.org/spreadsheetml/2006/main" uniqueCount="234">
  <si>
    <t>Este documento se exportó de Numbers. Cada tabla se convirtió en una hoja de cálculo de Excel. Los demás objetos de las hojas de Numbers se colocaron en distintas hojas de cálculo. Recuerda que el cálculo de fórmulas puede ser diferente en Excel.</t>
  </si>
  <si>
    <t>Nombre de hoja de Numbers</t>
  </si>
  <si>
    <t>Nombre de tabla de Numbers</t>
  </si>
  <si>
    <t>Nombre de hoja de cálculo de Excel</t>
  </si>
  <si>
    <t>2015</t>
  </si>
  <si>
    <t>Tabla 1</t>
  </si>
  <si>
    <t>CASA SOBRE LA ROCA - SABANA NORTE</t>
  </si>
  <si>
    <t>ESTADISTICAS DIEZMOS 2015</t>
  </si>
  <si>
    <t>SEMANA</t>
  </si>
  <si>
    <t>ENERO</t>
  </si>
  <si>
    <t>FEBRERO</t>
  </si>
  <si>
    <t>MARZO</t>
  </si>
  <si>
    <t>ABRIL</t>
  </si>
  <si>
    <t>MAYO</t>
  </si>
  <si>
    <t>JUNIO</t>
  </si>
  <si>
    <t>JULIO</t>
  </si>
  <si>
    <t>AGOSTO</t>
  </si>
  <si>
    <t>SEPTIEMBRE</t>
  </si>
  <si>
    <t>OCTUBRE</t>
  </si>
  <si>
    <t>NOVIEMBRE</t>
  </si>
  <si>
    <t>DICIEMBRE</t>
  </si>
  <si>
    <t>PROMEDIO MES</t>
  </si>
  <si>
    <t>TOTAL</t>
  </si>
  <si>
    <t>PROMEDIO</t>
  </si>
  <si>
    <t>VAR. MES</t>
  </si>
  <si>
    <t>ACUM. ANUAL</t>
  </si>
  <si>
    <t>VAR. ANUAL</t>
  </si>
  <si>
    <t>ESTADISTICAS 2015</t>
  </si>
  <si>
    <t>CONCEPTO</t>
  </si>
  <si>
    <t>ASISTENTES DOMINGO (*)</t>
  </si>
  <si>
    <t>ASISTENTES MIERCOLES</t>
  </si>
  <si>
    <t>ASISTENTES AYUNO</t>
  </si>
  <si>
    <t>SOBRES DIEZMOS</t>
  </si>
  <si>
    <t>ROCA KIDS</t>
  </si>
  <si>
    <t>(*) NO INCLUYE ROCA KIDS, NI TMT</t>
  </si>
  <si>
    <t>CONVERSIONES</t>
  </si>
  <si>
    <t>VIDA NUEVA</t>
  </si>
  <si>
    <t>BAUTIZOS</t>
  </si>
  <si>
    <t>IBLI</t>
  </si>
  <si>
    <t>TIMOTEOS</t>
  </si>
  <si>
    <t>CASADOS</t>
  </si>
  <si>
    <t>HOMBRES</t>
  </si>
  <si>
    <t>MUJER INTEGRAL</t>
  </si>
  <si>
    <t>NUEVA JUVENTUD</t>
  </si>
  <si>
    <t>TOTAL (SIN ROCA KIDS)</t>
  </si>
  <si>
    <t>PART. M. CONGREGACIONALES</t>
  </si>
  <si>
    <t>SIERVOS (*)</t>
  </si>
  <si>
    <t>UJIERES</t>
  </si>
  <si>
    <t>ALABANZA</t>
  </si>
  <si>
    <t>VISA</t>
  </si>
  <si>
    <t>NICODEMO</t>
  </si>
  <si>
    <t>MUJERES</t>
  </si>
  <si>
    <t>TMT</t>
  </si>
  <si>
    <t>NJ</t>
  </si>
  <si>
    <t>ORACION</t>
  </si>
  <si>
    <t>(*) INCLUYE LIDERES</t>
  </si>
  <si>
    <t>DIEZMOS</t>
  </si>
  <si>
    <t>PART. M. OPERATIVOS</t>
  </si>
  <si>
    <t>ventas  RocaFe</t>
  </si>
  <si>
    <t>semanas</t>
  </si>
  <si>
    <t>promedio semana</t>
  </si>
  <si>
    <t>promedio mes</t>
  </si>
  <si>
    <t>gastos</t>
  </si>
  <si>
    <t>Promedio mes</t>
  </si>
  <si>
    <t>Ganancia</t>
  </si>
  <si>
    <t>DATOS PARA GRAFICO</t>
  </si>
  <si>
    <t>DOMINGO</t>
  </si>
  <si>
    <t>MIERCOLES</t>
  </si>
  <si>
    <t>AYUNO</t>
  </si>
  <si>
    <t>SOBRES</t>
  </si>
  <si>
    <t>DIEZMOS ANUAL (M$)</t>
  </si>
  <si>
    <t>PART. CONGREGACIONALES</t>
  </si>
  <si>
    <t>PART. OPERATIVOS</t>
  </si>
  <si>
    <t>VALOR</t>
  </si>
  <si>
    <t>NUEVOS</t>
  </si>
  <si>
    <t>VN</t>
  </si>
  <si>
    <t>--&gt; % SOBRE TOTAL NUEVOS ANUAL</t>
  </si>
  <si>
    <t>2016</t>
  </si>
  <si>
    <t>ESTADISTICAS DIEZMOS 2016</t>
  </si>
  <si>
    <t>Mcoles 28/16 y transf. no registradas nov y dic</t>
  </si>
  <si>
    <t>ACUM. ANNUAL 2016</t>
  </si>
  <si>
    <t>ACUM. ANUAL 2015</t>
  </si>
  <si>
    <t>VAR. ANUAL 2016/2015</t>
  </si>
  <si>
    <t>ESTADISTICAS 2016</t>
  </si>
  <si>
    <t>Promedio</t>
  </si>
  <si>
    <t>A.D.N.</t>
  </si>
  <si>
    <t>CONGREGACIONALES SIN ROCA KIDS</t>
  </si>
  <si>
    <t>Años Dorados</t>
  </si>
  <si>
    <t>EJECUTIVOS</t>
  </si>
  <si>
    <t>CONSEJERIA</t>
  </si>
  <si>
    <t>AÑOS DORADOS</t>
  </si>
  <si>
    <t>AMIGOS MAS</t>
  </si>
  <si>
    <t>PART. SIERVOS</t>
  </si>
  <si>
    <t>2017</t>
  </si>
  <si>
    <t>ESTADISTICAS DIEZMOS 2017</t>
  </si>
  <si>
    <t>META 2017</t>
  </si>
  <si>
    <t>ACUM. ANNUAL 2017</t>
  </si>
  <si>
    <t>ACUM. ANUAL 2016</t>
  </si>
  <si>
    <t>VAR. ANUAL 2017/2016</t>
  </si>
  <si>
    <t>ESTADISTICAS 2017</t>
  </si>
  <si>
    <t>ME</t>
  </si>
  <si>
    <t>LLP</t>
  </si>
  <si>
    <t>TMT - GENERAL</t>
  </si>
  <si>
    <t>Challergers</t>
  </si>
  <si>
    <t>Fighters + Conquerors</t>
  </si>
  <si>
    <t>TMT - G.P.</t>
  </si>
  <si>
    <t>Fighters</t>
  </si>
  <si>
    <t>Conquerors</t>
  </si>
  <si>
    <t>SERVICIO SOCIAL</t>
  </si>
  <si>
    <t>Mercados</t>
  </si>
  <si>
    <t>Ayudas</t>
  </si>
  <si>
    <t>COMUNICACIONES</t>
  </si>
  <si>
    <t>ROCAFE</t>
  </si>
  <si>
    <t>CLUB DE AMIGOS</t>
  </si>
  <si>
    <t>2018</t>
  </si>
  <si>
    <t>ESTADISTICAS DIEZMOS 2018</t>
  </si>
  <si>
    <t>META 2018</t>
  </si>
  <si>
    <t>ACUM. ANUAL 2018</t>
  </si>
  <si>
    <t>ACUM. ANUAL 2017</t>
  </si>
  <si>
    <t>VAR. ANUAL 2018/2017</t>
  </si>
  <si>
    <t>MAS</t>
  </si>
  <si>
    <t>LIBRERÍA</t>
  </si>
  <si>
    <t>CAFETERIA</t>
  </si>
  <si>
    <t>ESTADISTICAS 2018</t>
  </si>
  <si>
    <t>TOTAL AÑO</t>
  </si>
  <si>
    <t>JOSUES</t>
  </si>
  <si>
    <t>BRIGADAS</t>
  </si>
  <si>
    <t>CLUBES</t>
  </si>
  <si>
    <t>G.P.</t>
  </si>
  <si>
    <t>GRUPO DE BIENVENIDA</t>
  </si>
  <si>
    <t>ESTADISTICAS A JUNIO 30/18</t>
  </si>
  <si>
    <t>MES</t>
  </si>
  <si>
    <t>%</t>
  </si>
  <si>
    <t>SEXO</t>
  </si>
  <si>
    <t>Hombres</t>
  </si>
  <si>
    <t>Mujeres</t>
  </si>
  <si>
    <t>ASIST DESAYUNO</t>
  </si>
  <si>
    <t>Si</t>
  </si>
  <si>
    <t>No</t>
  </si>
  <si>
    <t>ESTADO</t>
  </si>
  <si>
    <t>Conectado</t>
  </si>
  <si>
    <t>Visitante</t>
  </si>
  <si>
    <t>No interesado</t>
  </si>
  <si>
    <t>No contesta</t>
  </si>
  <si>
    <t>En seguimiento</t>
  </si>
  <si>
    <t>Datos errados</t>
  </si>
  <si>
    <t>LOS CONECTADOS</t>
  </si>
  <si>
    <t>tmt</t>
  </si>
  <si>
    <t>Roca Kids</t>
  </si>
  <si>
    <t>Mujer integral</t>
  </si>
  <si>
    <t>Iglesia</t>
  </si>
  <si>
    <t>Casados</t>
  </si>
  <si>
    <t>2019</t>
  </si>
  <si>
    <t>ESTADISTICAS DIEZMOS 2019</t>
  </si>
  <si>
    <t>META 2019</t>
  </si>
  <si>
    <t>ACUM. ANUAL 2019</t>
  </si>
  <si>
    <t>ESTADISTICAS 2019</t>
  </si>
  <si>
    <t>Pulso</t>
  </si>
  <si>
    <t>Eco + Legado</t>
  </si>
  <si>
    <t>Eco + legado</t>
  </si>
  <si>
    <t>Legado</t>
  </si>
  <si>
    <t>G.P</t>
  </si>
  <si>
    <t>2020</t>
  </si>
  <si>
    <t>ESTADISTICAS DIEZMOS 2020</t>
  </si>
  <si>
    <t>META 2020</t>
  </si>
  <si>
    <t>ACUM. ANUAL 2020</t>
  </si>
  <si>
    <t>VAR. ANUAL 2020/2019</t>
  </si>
  <si>
    <t>Incluye cuenta nacional, baloto</t>
  </si>
  <si>
    <t>ESTADISTICAS 2020</t>
  </si>
  <si>
    <t>IBLI (incluye ibli y facter virtual)</t>
  </si>
  <si>
    <t>J25</t>
  </si>
  <si>
    <t>Eco</t>
  </si>
  <si>
    <t>2021</t>
  </si>
  <si>
    <t>ESTADISTICAS DIEZMOS 2021</t>
  </si>
  <si>
    <t>META 2021</t>
  </si>
  <si>
    <t>Reporte ingresos cuenta nacional y baloto. Se tomo el valor neto reportado de nov y dic y se dividió por 2.</t>
  </si>
  <si>
    <t>ACUM. ANUAL 2021</t>
  </si>
  <si>
    <t>VAR. ANUAL 2021/2020</t>
  </si>
  <si>
    <t>ESTADISTICAS 2021</t>
  </si>
  <si>
    <t>ASISTENTES DOMINGO PRESENCIAL(*)</t>
  </si>
  <si>
    <t>ASISTENTES DOMINGO VIRTUAL(*)</t>
  </si>
  <si>
    <t>2022</t>
  </si>
  <si>
    <t>ESTADISTICAS DIEZMOS 2022</t>
  </si>
  <si>
    <t>META 2022</t>
  </si>
  <si>
    <t>CONS. CUENTA NAL Y BALOTO</t>
  </si>
  <si>
    <t>ACUM. ANUAL 2022</t>
  </si>
  <si>
    <t>VAR. ANUAL 2022/2021</t>
  </si>
  <si>
    <t>ESTADISTICAS 2022</t>
  </si>
  <si>
    <t>No. Grupos</t>
  </si>
  <si>
    <t>Asistencia G.P.</t>
  </si>
  <si>
    <t>E&amp;E</t>
  </si>
  <si>
    <t>Total</t>
  </si>
  <si>
    <t>2023</t>
  </si>
  <si>
    <t>ESTADISTICAS DIEZMOS 2023</t>
  </si>
  <si>
    <t>CONS. CUENTA NACIONAL</t>
  </si>
  <si>
    <t>ACUM. ANUAL 2023</t>
  </si>
  <si>
    <t>VAR. ANUAL 2023/2022</t>
  </si>
  <si>
    <t>CONSIGNADO AL MAS</t>
  </si>
  <si>
    <t>ESTADISTICAS 2023</t>
  </si>
  <si>
    <t>META 2023</t>
  </si>
  <si>
    <t>NA</t>
  </si>
  <si>
    <t>GRUPOS PEQUEÑOS</t>
  </si>
  <si>
    <t>Asist Grupos</t>
  </si>
  <si>
    <t>tMt</t>
  </si>
  <si>
    <t>Años dorados</t>
  </si>
  <si>
    <t>Josues</t>
  </si>
  <si>
    <t>Mujer</t>
  </si>
  <si>
    <t>Clubes</t>
  </si>
  <si>
    <t>2024</t>
  </si>
  <si>
    <t>ESTADISTICAS DIEZMOS 2024</t>
  </si>
  <si>
    <t>META 2024</t>
  </si>
  <si>
    <t>ACUM. ANUAL 2024</t>
  </si>
  <si>
    <t>VAR. ANUAL 2024/2023</t>
  </si>
  <si>
    <t>ESTADISTICAS 2024</t>
  </si>
  <si>
    <t>CONGREGACIONALES</t>
  </si>
  <si>
    <t># g.p.</t>
  </si>
  <si>
    <t>Asistentes gp</t>
  </si>
  <si>
    <t>????</t>
  </si>
  <si>
    <t>j25</t>
  </si>
  <si>
    <t>MI</t>
  </si>
  <si>
    <t>Total sin clubles</t>
  </si>
  <si>
    <t>2025</t>
  </si>
  <si>
    <t>ESTADISTICAS DIEZMOS 2025</t>
  </si>
  <si>
    <t>META 2025</t>
  </si>
  <si>
    <t>ACUM. ANUAL 2025</t>
  </si>
  <si>
    <t>VAR. ANUAL 2025/2024</t>
  </si>
  <si>
    <t>ESTADISTICAS 2025</t>
  </si>
  <si>
    <t xml:space="preserve">CONGREGACIONALES PRESENCIALES </t>
  </si>
  <si>
    <t>Personas beneficiadas</t>
  </si>
  <si>
    <t># g.p. presencial</t>
  </si>
  <si>
    <t>Asistentes gp presencial</t>
  </si>
  <si>
    <t># g.p. virtual</t>
  </si>
  <si>
    <t>Asistentes gp virtual</t>
  </si>
  <si>
    <t>CONGREGACIONALES VIRTUALES</t>
  </si>
</sst>
</file>

<file path=xl/styles.xml><?xml version="1.0" encoding="utf-8"?>
<styleSheet xmlns="http://schemas.openxmlformats.org/spreadsheetml/2006/main">
  <numFmts count="10">
    <numFmt numFmtId="0" formatCode="General"/>
    <numFmt numFmtId="59" formatCode="&quot; &quot;* #,##0&quot; &quot;;&quot; &quot;* (#,##0);&quot; &quot;* &quot;-&quot;??&quot; &quot;"/>
    <numFmt numFmtId="60" formatCode="0.0%"/>
    <numFmt numFmtId="61" formatCode="&quot; &quot;* #,##0&quot; &quot;;&quot;-&quot;* #,##0&quot; &quot;;&quot; &quot;* &quot;- &quot;"/>
    <numFmt numFmtId="62" formatCode="&quot; &quot;#,##0&quot; &quot;;&quot; '(&quot;#,##0);&quot; '-&quot;??&quot; &quot;"/>
    <numFmt numFmtId="63" formatCode="&quot; &quot;#,##0&quot; &quot;;&quot;-&quot;#,##0&quot; &quot;;&quot; '- &quot;"/>
    <numFmt numFmtId="64" formatCode="#,##0.0%"/>
    <numFmt numFmtId="65" formatCode="mmmm"/>
    <numFmt numFmtId="66" formatCode="#,##0.0"/>
    <numFmt numFmtId="67" formatCode="0.0"/>
  </numFmts>
  <fonts count="12">
    <font>
      <sz val="12"/>
      <color indexed="8"/>
      <name val="Calibri"/>
    </font>
    <font>
      <sz val="14"/>
      <color indexed="8"/>
      <name val="Calibri"/>
    </font>
    <font>
      <sz val="12"/>
      <color indexed="8"/>
      <name val="Helvetica"/>
    </font>
    <font>
      <u val="single"/>
      <sz val="12"/>
      <color indexed="11"/>
      <name val="Calibri"/>
    </font>
    <font>
      <sz val="15"/>
      <color indexed="8"/>
      <name val="Calibri"/>
    </font>
    <font>
      <b val="1"/>
      <u val="single"/>
      <sz val="18"/>
      <color indexed="8"/>
      <name val="Calibri"/>
    </font>
    <font>
      <sz val="18"/>
      <color indexed="8"/>
      <name val="Calibri"/>
    </font>
    <font>
      <sz val="9"/>
      <color indexed="8"/>
      <name val="Calibri"/>
    </font>
    <font>
      <b val="1"/>
      <sz val="12"/>
      <color indexed="8"/>
      <name val="Calibri"/>
    </font>
    <font>
      <sz val="11"/>
      <color indexed="8"/>
      <name val="Calibri"/>
    </font>
    <font>
      <sz val="10"/>
      <color indexed="8"/>
      <name val="Calibri"/>
    </font>
    <font>
      <b val="1"/>
      <sz val="18"/>
      <color indexed="8"/>
      <name val="Calibri"/>
    </font>
  </fonts>
  <fills count="8">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
      <patternFill patternType="solid">
        <fgColor indexed="25"/>
        <bgColor auto="1"/>
      </patternFill>
    </fill>
    <fill>
      <patternFill patternType="solid">
        <fgColor indexed="26"/>
        <bgColor auto="1"/>
      </patternFill>
    </fill>
  </fills>
  <borders count="20">
    <border>
      <left/>
      <right/>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2"/>
      </right>
      <top style="thin">
        <color indexed="12"/>
      </top>
      <bottom style="thin">
        <color indexed="12"/>
      </bottom>
      <diagonal/>
    </border>
    <border>
      <left style="thin">
        <color indexed="12"/>
      </left>
      <right style="thin">
        <color indexed="12"/>
      </right>
      <top style="thin">
        <color indexed="8"/>
      </top>
      <bottom style="thin">
        <color indexed="12"/>
      </bottom>
      <diagonal/>
    </border>
    <border>
      <left style="thin">
        <color indexed="12"/>
      </left>
      <right style="thin">
        <color indexed="12"/>
      </right>
      <top style="thin">
        <color indexed="8"/>
      </top>
      <bottom style="thin">
        <color indexed="8"/>
      </bottom>
      <diagonal/>
    </border>
    <border>
      <left style="thin">
        <color indexed="12"/>
      </left>
      <right style="thin">
        <color indexed="12"/>
      </right>
      <top style="thin">
        <color indexed="12"/>
      </top>
      <bottom/>
      <diagonal/>
    </border>
    <border>
      <left style="thin">
        <color indexed="12"/>
      </left>
      <right/>
      <top/>
      <bottom/>
      <diagonal/>
    </border>
    <border>
      <left/>
      <right/>
      <top/>
      <bottom/>
      <diagonal/>
    </border>
    <border>
      <left/>
      <right style="thin">
        <color indexed="12"/>
      </right>
      <top style="thin">
        <color indexed="12"/>
      </top>
      <bottom style="thin">
        <color indexed="12"/>
      </bottom>
      <diagonal/>
    </border>
    <border>
      <left style="thin">
        <color indexed="12"/>
      </left>
      <right style="thin">
        <color indexed="12"/>
      </right>
      <top/>
      <bottom style="thin">
        <color indexed="12"/>
      </bottom>
      <diagonal/>
    </border>
    <border>
      <left style="thin">
        <color indexed="8"/>
      </left>
      <right style="thin">
        <color indexed="12"/>
      </right>
      <top style="thin">
        <color indexed="8"/>
      </top>
      <bottom style="thin">
        <color indexed="12"/>
      </bottom>
      <diagonal/>
    </border>
    <border>
      <left style="thin">
        <color indexed="12"/>
      </left>
      <right style="thin">
        <color indexed="8"/>
      </right>
      <top style="thin">
        <color indexed="8"/>
      </top>
      <bottom style="thin">
        <color indexed="8"/>
      </bottom>
      <diagonal/>
    </border>
    <border>
      <left style="thin">
        <color indexed="8"/>
      </left>
      <right style="thin">
        <color indexed="8"/>
      </right>
      <top style="thin">
        <color indexed="8"/>
      </top>
      <bottom style="thin">
        <color indexed="12"/>
      </bottom>
      <diagonal/>
    </border>
    <border>
      <left style="thin">
        <color indexed="8"/>
      </left>
      <right style="thin">
        <color indexed="8"/>
      </right>
      <top style="thin">
        <color indexed="12"/>
      </top>
      <bottom style="thin">
        <color indexed="12"/>
      </bottom>
      <diagonal/>
    </border>
    <border>
      <left style="thin">
        <color indexed="12"/>
      </left>
      <right style="thin">
        <color indexed="8"/>
      </right>
      <top style="thin">
        <color indexed="12"/>
      </top>
      <bottom style="thin">
        <color indexed="8"/>
      </bottom>
      <diagonal/>
    </border>
    <border>
      <left style="thin">
        <color indexed="8"/>
      </left>
      <right style="thin">
        <color indexed="12"/>
      </right>
      <top style="thin">
        <color indexed="8"/>
      </top>
      <bottom style="thin">
        <color indexed="8"/>
      </bottom>
      <diagonal/>
    </border>
    <border>
      <left style="thin">
        <color indexed="12"/>
      </left>
      <right style="thin">
        <color indexed="8"/>
      </right>
      <top style="thin">
        <color indexed="8"/>
      </top>
      <bottom style="thin">
        <color indexed="12"/>
      </bottom>
      <diagonal/>
    </border>
    <border>
      <left style="thin">
        <color indexed="12"/>
      </left>
      <right style="thin">
        <color indexed="8"/>
      </right>
      <top style="thin">
        <color indexed="12"/>
      </top>
      <bottom style="thin">
        <color indexed="12"/>
      </bottom>
      <diagonal/>
    </border>
  </borders>
  <cellStyleXfs count="1">
    <xf numFmtId="0" fontId="0" applyNumberFormat="0" applyFont="1" applyFill="0" applyBorder="0" applyAlignment="1" applyProtection="0">
      <alignment vertical="bottom"/>
    </xf>
  </cellStyleXfs>
  <cellXfs count="166">
    <xf numFmtId="0" fontId="0" applyNumberFormat="0" applyFont="1" applyFill="0" applyBorder="0" applyAlignment="1" applyProtection="0">
      <alignment vertical="bottom"/>
    </xf>
    <xf numFmtId="0" fontId="0" applyNumberFormat="0" applyFont="1" applyFill="0" applyBorder="0" applyAlignment="1" applyProtection="0">
      <alignment horizontal="left" vertical="bottom" wrapText="1"/>
    </xf>
    <xf numFmtId="0" fontId="1" applyNumberFormat="0" applyFont="1" applyFill="0" applyBorder="0" applyAlignment="1" applyProtection="0">
      <alignment horizontal="left" vertical="bottom"/>
    </xf>
    <xf numFmtId="0" fontId="0" fillId="2" applyNumberFormat="0" applyFont="1" applyFill="1" applyBorder="0" applyAlignment="1" applyProtection="0">
      <alignment horizontal="left" vertical="bottom"/>
    </xf>
    <xf numFmtId="0" fontId="0" fillId="3" applyNumberFormat="0" applyFont="1" applyFill="1" applyBorder="0" applyAlignment="1" applyProtection="0">
      <alignment horizontal="left" vertical="bottom"/>
    </xf>
    <xf numFmtId="0" fontId="3"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5" borderId="1" applyNumberFormat="1" applyFont="1" applyFill="0" applyBorder="1" applyAlignment="1" applyProtection="0">
      <alignment horizontal="center" vertical="bottom"/>
    </xf>
    <xf numFmtId="0" fontId="5" borderId="1" applyNumberFormat="0" applyFont="1" applyFill="0" applyBorder="1" applyAlignment="1" applyProtection="0">
      <alignment horizontal="center" vertical="bottom"/>
    </xf>
    <xf numFmtId="0" fontId="6" borderId="1" applyNumberFormat="0" applyFont="1" applyFill="0" applyBorder="1" applyAlignment="1" applyProtection="0">
      <alignment horizontal="center" vertical="bottom"/>
    </xf>
    <xf numFmtId="0" fontId="7" borderId="1" applyNumberFormat="0" applyFont="1" applyFill="0" applyBorder="1" applyAlignment="1" applyProtection="0">
      <alignment vertical="bottom"/>
    </xf>
    <xf numFmtId="0" fontId="0" borderId="1" applyNumberFormat="0" applyFont="1" applyFill="0" applyBorder="1" applyAlignment="1" applyProtection="0">
      <alignment vertical="bottom"/>
    </xf>
    <xf numFmtId="0" fontId="0" borderId="1" applyNumberFormat="0" applyFont="1" applyFill="0" applyBorder="1" applyAlignment="1" applyProtection="0">
      <alignment horizontal="center" vertical="bottom"/>
    </xf>
    <xf numFmtId="0" fontId="0" borderId="2" applyNumberFormat="0" applyFont="1" applyFill="0" applyBorder="1" applyAlignment="1" applyProtection="0">
      <alignment vertical="bottom"/>
    </xf>
    <xf numFmtId="49" fontId="8" borderId="3" applyNumberFormat="1" applyFont="1" applyFill="0" applyBorder="1" applyAlignment="1" applyProtection="0">
      <alignment horizontal="center" vertical="bottom"/>
    </xf>
    <xf numFmtId="49" fontId="8" borderId="4" applyNumberFormat="1" applyFont="1" applyFill="0" applyBorder="1" applyAlignment="1" applyProtection="0">
      <alignment horizontal="left" vertical="bottom"/>
    </xf>
    <xf numFmtId="0" fontId="8" borderId="1" applyNumberFormat="0" applyFont="1" applyFill="0" applyBorder="1" applyAlignment="1" applyProtection="0">
      <alignment horizontal="center" vertical="bottom"/>
    </xf>
    <xf numFmtId="0" fontId="0" borderId="3" applyNumberFormat="1" applyFont="1" applyFill="0" applyBorder="1" applyAlignment="1" applyProtection="0">
      <alignment horizontal="center" vertical="bottom"/>
    </xf>
    <xf numFmtId="59" fontId="0" borderId="3" applyNumberFormat="1" applyFont="1" applyFill="0" applyBorder="1" applyAlignment="1" applyProtection="0">
      <alignment vertical="bottom"/>
    </xf>
    <xf numFmtId="59" fontId="7" borderId="4" applyNumberFormat="1" applyFont="1" applyFill="0" applyBorder="1" applyAlignment="1" applyProtection="0">
      <alignment vertical="bottom"/>
    </xf>
    <xf numFmtId="49" fontId="0" borderId="3" applyNumberFormat="1" applyFont="1" applyFill="0" applyBorder="1" applyAlignment="1" applyProtection="0">
      <alignment horizontal="center" vertical="bottom"/>
    </xf>
    <xf numFmtId="0" fontId="7" borderId="4" applyNumberFormat="0" applyFont="1" applyFill="0" applyBorder="1" applyAlignment="1" applyProtection="0">
      <alignment vertical="bottom"/>
    </xf>
    <xf numFmtId="49" fontId="0" borderId="5" applyNumberFormat="1" applyFont="1" applyFill="0" applyBorder="1" applyAlignment="1" applyProtection="0">
      <alignment horizontal="center" vertical="bottom"/>
    </xf>
    <xf numFmtId="59" fontId="0" borderId="5" applyNumberFormat="1" applyFont="1" applyFill="0" applyBorder="1" applyAlignment="1" applyProtection="0">
      <alignment vertical="bottom"/>
    </xf>
    <xf numFmtId="9" fontId="0" borderId="5" applyNumberFormat="1" applyFont="1" applyFill="0" applyBorder="1" applyAlignment="1" applyProtection="0">
      <alignment vertical="bottom"/>
    </xf>
    <xf numFmtId="49" fontId="0" borderId="1" applyNumberFormat="1" applyFont="1" applyFill="0" applyBorder="1" applyAlignment="1" applyProtection="0">
      <alignment horizontal="left" vertical="bottom"/>
    </xf>
    <xf numFmtId="59" fontId="0" borderId="1" applyNumberFormat="1" applyFont="1" applyFill="0" applyBorder="1" applyAlignment="1" applyProtection="0">
      <alignment vertical="bottom"/>
    </xf>
    <xf numFmtId="59" fontId="7" borderId="1" applyNumberFormat="1" applyFont="1" applyFill="0" applyBorder="1" applyAlignment="1" applyProtection="0">
      <alignment vertical="bottom"/>
    </xf>
    <xf numFmtId="60" fontId="0" borderId="1" applyNumberFormat="1" applyFont="1" applyFill="0" applyBorder="1" applyAlignment="1" applyProtection="0">
      <alignment vertical="bottom"/>
    </xf>
    <xf numFmtId="9" fontId="0" borderId="2" applyNumberFormat="1" applyFont="1" applyFill="0" applyBorder="1" applyAlignment="1" applyProtection="0">
      <alignment vertical="bottom"/>
    </xf>
    <xf numFmtId="0" fontId="0" borderId="5" applyNumberFormat="0" applyFont="1" applyFill="0" applyBorder="1" applyAlignment="1" applyProtection="0">
      <alignment vertical="bottom"/>
    </xf>
    <xf numFmtId="61" fontId="0" borderId="2" applyNumberFormat="1" applyFont="1" applyFill="0" applyBorder="1" applyAlignment="1" applyProtection="0">
      <alignment vertical="bottom"/>
    </xf>
    <xf numFmtId="49" fontId="8" borderId="3" applyNumberFormat="1" applyFont="1" applyFill="0" applyBorder="1" applyAlignment="1" applyProtection="0">
      <alignment vertical="bottom"/>
    </xf>
    <xf numFmtId="49" fontId="0" borderId="3" applyNumberFormat="1" applyFont="1" applyFill="0" applyBorder="1" applyAlignment="1" applyProtection="0">
      <alignment vertical="bottom"/>
    </xf>
    <xf numFmtId="61" fontId="0" borderId="4" applyNumberFormat="1" applyFont="1" applyFill="0" applyBorder="1" applyAlignment="1" applyProtection="0">
      <alignment vertical="bottom"/>
    </xf>
    <xf numFmtId="0" fontId="0" borderId="3" applyNumberFormat="0" applyFont="1" applyFill="0" applyBorder="1" applyAlignment="1" applyProtection="0">
      <alignment horizontal="center" vertical="bottom"/>
    </xf>
    <xf numFmtId="0" fontId="0" borderId="4" applyNumberFormat="0" applyFont="1" applyFill="0" applyBorder="1" applyAlignment="1" applyProtection="0">
      <alignment vertical="bottom"/>
    </xf>
    <xf numFmtId="0" fontId="0" borderId="6" applyNumberFormat="0" applyFont="1" applyFill="0" applyBorder="1" applyAlignment="1" applyProtection="0">
      <alignment vertical="bottom"/>
    </xf>
    <xf numFmtId="61" fontId="0" borderId="3" applyNumberFormat="1" applyFont="1" applyFill="0" applyBorder="1" applyAlignment="1" applyProtection="0">
      <alignment horizontal="center" vertical="bottom"/>
    </xf>
    <xf numFmtId="0" fontId="0" borderId="3" applyNumberFormat="0" applyFont="1" applyFill="0" applyBorder="1" applyAlignment="1" applyProtection="0">
      <alignment vertical="bottom"/>
    </xf>
    <xf numFmtId="0" fontId="0" borderId="3" applyNumberFormat="1" applyFont="1" applyFill="0" applyBorder="1" applyAlignment="1" applyProtection="0">
      <alignment vertical="bottom"/>
    </xf>
    <xf numFmtId="0" fontId="0" borderId="6" applyNumberFormat="0" applyFont="1" applyFill="0" applyBorder="1" applyAlignment="1" applyProtection="0">
      <alignment horizontal="center" vertical="bottom"/>
    </xf>
    <xf numFmtId="49" fontId="0" borderId="5" applyNumberFormat="1" applyFont="1" applyFill="0" applyBorder="1" applyAlignment="1" applyProtection="0">
      <alignment vertical="bottom"/>
    </xf>
    <xf numFmtId="60" fontId="0" borderId="5" applyNumberFormat="1" applyFont="1" applyFill="0" applyBorder="1" applyAlignment="1" applyProtection="0">
      <alignment vertical="bottom"/>
    </xf>
    <xf numFmtId="0" fontId="0" borderId="2" applyNumberFormat="0" applyFont="1" applyFill="0" applyBorder="1" applyAlignment="1" applyProtection="0">
      <alignment horizontal="center" vertical="bottom"/>
    </xf>
    <xf numFmtId="0" fontId="0" borderId="5" applyNumberFormat="1" applyFont="1" applyFill="0" applyBorder="1" applyAlignment="1" applyProtection="0">
      <alignment vertical="bottom"/>
    </xf>
    <xf numFmtId="49" fontId="0" borderId="7" applyNumberFormat="1" applyFont="1" applyFill="0" applyBorder="1" applyAlignment="1" applyProtection="0">
      <alignment vertical="bottom"/>
    </xf>
    <xf numFmtId="0" fontId="0" borderId="7" applyNumberFormat="1" applyFont="1" applyFill="0" applyBorder="1" applyAlignment="1" applyProtection="0">
      <alignment vertical="bottom"/>
    </xf>
    <xf numFmtId="49" fontId="0" fillId="4" borderId="8" applyNumberFormat="1" applyFont="1" applyFill="1" applyBorder="1" applyAlignment="1" applyProtection="0">
      <alignment vertical="bottom"/>
    </xf>
    <xf numFmtId="0" fontId="0" fillId="4" borderId="9" applyNumberFormat="1" applyFont="1" applyFill="1" applyBorder="1" applyAlignment="1" applyProtection="0">
      <alignment vertical="bottom"/>
    </xf>
    <xf numFmtId="0" fontId="0" borderId="10" applyNumberFormat="0" applyFont="1" applyFill="0" applyBorder="1" applyAlignment="1" applyProtection="0">
      <alignment vertical="bottom"/>
    </xf>
    <xf numFmtId="49" fontId="0" borderId="11" applyNumberFormat="1" applyFont="1" applyFill="0" applyBorder="1" applyAlignment="1" applyProtection="0">
      <alignment vertical="bottom"/>
    </xf>
    <xf numFmtId="0" fontId="0" borderId="11" applyNumberFormat="1" applyFont="1" applyFill="0" applyBorder="1" applyAlignment="1" applyProtection="0">
      <alignment vertical="bottom"/>
    </xf>
    <xf numFmtId="0" fontId="0" fillId="4" borderId="9" applyNumberFormat="0" applyFont="1" applyFill="1" applyBorder="1" applyAlignment="1" applyProtection="0">
      <alignment vertical="bottom"/>
    </xf>
    <xf numFmtId="49" fontId="0" borderId="1" applyNumberFormat="1" applyFont="1" applyFill="0" applyBorder="1" applyAlignment="1" applyProtection="0">
      <alignment vertical="bottom"/>
    </xf>
    <xf numFmtId="0" fontId="0" borderId="1" applyNumberFormat="1" applyFont="1" applyFill="0" applyBorder="1" applyAlignment="1" applyProtection="0">
      <alignment vertical="bottom"/>
    </xf>
    <xf numFmtId="61" fontId="0" borderId="1" applyNumberFormat="1" applyFont="1" applyFill="0" applyBorder="1" applyAlignment="1" applyProtection="0">
      <alignment vertical="bottom"/>
    </xf>
    <xf numFmtId="9" fontId="0" borderId="1" applyNumberFormat="1" applyFont="1" applyFill="0" applyBorder="1" applyAlignment="1" applyProtection="0">
      <alignment vertical="bottom"/>
    </xf>
    <xf numFmtId="59" fontId="9" borderId="1" applyNumberFormat="1" applyFont="1" applyFill="0" applyBorder="1" applyAlignment="1" applyProtection="0">
      <alignment vertical="bottom"/>
    </xf>
    <xf numFmtId="0" fontId="0" applyNumberFormat="1" applyFont="1" applyFill="0" applyBorder="0" applyAlignment="1" applyProtection="0">
      <alignment vertical="bottom"/>
    </xf>
    <xf numFmtId="49" fontId="7" borderId="4" applyNumberFormat="1" applyFont="1" applyFill="0" applyBorder="1" applyAlignment="1" applyProtection="0">
      <alignment vertical="bottom"/>
    </xf>
    <xf numFmtId="9" fontId="7" borderId="4" applyNumberFormat="1" applyFont="1" applyFill="0" applyBorder="1" applyAlignment="1" applyProtection="0">
      <alignment vertical="bottom"/>
    </xf>
    <xf numFmtId="9" fontId="7" borderId="1" applyNumberFormat="1" applyFont="1" applyFill="0" applyBorder="1" applyAlignment="1" applyProtection="0">
      <alignment vertical="bottom"/>
    </xf>
    <xf numFmtId="3" fontId="0" borderId="1" applyNumberFormat="1" applyFont="1" applyFill="0" applyBorder="1" applyAlignment="1" applyProtection="0">
      <alignment vertical="bottom"/>
    </xf>
    <xf numFmtId="0" fontId="0" borderId="1" applyNumberFormat="0" applyFont="1" applyFill="0" applyBorder="1" applyAlignment="1" applyProtection="0">
      <alignment horizontal="left" vertical="bottom"/>
    </xf>
    <xf numFmtId="49" fontId="0" borderId="4" applyNumberFormat="1" applyFont="1" applyFill="0" applyBorder="1" applyAlignment="1" applyProtection="0">
      <alignment vertical="bottom"/>
    </xf>
    <xf numFmtId="61" fontId="0" borderId="3" applyNumberFormat="1" applyFont="1" applyFill="0" applyBorder="1" applyAlignment="1" applyProtection="0">
      <alignment horizontal="left" vertical="bottom" readingOrder="1"/>
    </xf>
    <xf numFmtId="0" fontId="0" borderId="4" applyNumberFormat="1" applyFont="1" applyFill="0" applyBorder="1" applyAlignment="1" applyProtection="0">
      <alignment vertical="bottom"/>
    </xf>
    <xf numFmtId="49" fontId="8" fillId="5" borderId="3" applyNumberFormat="1" applyFont="1" applyFill="1" applyBorder="1" applyAlignment="1" applyProtection="0">
      <alignment horizontal="center" vertical="bottom" wrapText="1"/>
    </xf>
    <xf numFmtId="60" fontId="0" borderId="5" applyNumberFormat="1" applyFont="1" applyFill="0" applyBorder="1" applyAlignment="1" applyProtection="0">
      <alignment horizontal="center" vertical="bottom"/>
    </xf>
    <xf numFmtId="64" fontId="0" borderId="1" applyNumberFormat="1" applyFont="1" applyFill="0" applyBorder="1" applyAlignment="1" applyProtection="0">
      <alignment vertical="bottom"/>
    </xf>
    <xf numFmtId="0" fontId="0" applyNumberFormat="1" applyFont="1" applyFill="0" applyBorder="0" applyAlignment="1" applyProtection="0">
      <alignment vertical="bottom"/>
    </xf>
    <xf numFmtId="0" fontId="7" borderId="2" applyNumberFormat="0" applyFont="1" applyFill="0" applyBorder="1" applyAlignment="1" applyProtection="0">
      <alignment vertical="bottom"/>
    </xf>
    <xf numFmtId="49" fontId="8" fillId="6" borderId="3" applyNumberFormat="1" applyFont="1" applyFill="1" applyBorder="1" applyAlignment="1" applyProtection="0">
      <alignment horizontal="center" vertical="bottom"/>
    </xf>
    <xf numFmtId="59" fontId="0" borderId="3" applyNumberFormat="1" applyFont="1" applyFill="0" applyBorder="1" applyAlignment="1" applyProtection="0">
      <alignment horizontal="center" vertical="bottom"/>
    </xf>
    <xf numFmtId="59" fontId="7" borderId="12" applyNumberFormat="1" applyFont="1" applyFill="0" applyBorder="1" applyAlignment="1" applyProtection="0">
      <alignment vertical="bottom"/>
    </xf>
    <xf numFmtId="3" fontId="0" fillId="6" borderId="1" applyNumberFormat="1" applyFont="1" applyFill="1" applyBorder="1" applyAlignment="1" applyProtection="0">
      <alignment vertical="bottom"/>
    </xf>
    <xf numFmtId="3" fontId="7" borderId="1" applyNumberFormat="1" applyFont="1" applyFill="0" applyBorder="1" applyAlignment="1" applyProtection="0">
      <alignment vertical="bottom"/>
    </xf>
    <xf numFmtId="59" fontId="0" borderId="2" applyNumberFormat="1" applyFont="1" applyFill="0" applyBorder="1" applyAlignment="1" applyProtection="0">
      <alignment vertical="bottom"/>
    </xf>
    <xf numFmtId="3" fontId="0" borderId="3" applyNumberFormat="1" applyFont="1" applyFill="0" applyBorder="1" applyAlignment="1" applyProtection="0">
      <alignment horizontal="center" vertical="bottom" readingOrder="1"/>
    </xf>
    <xf numFmtId="3" fontId="0" borderId="3" applyNumberFormat="1" applyFont="1" applyFill="0" applyBorder="1" applyAlignment="1" applyProtection="0">
      <alignment horizontal="center" vertical="bottom"/>
    </xf>
    <xf numFmtId="0" fontId="0" fillId="6" borderId="12" applyNumberFormat="1" applyFont="1" applyFill="1" applyBorder="1" applyAlignment="1" applyProtection="0">
      <alignment horizontal="center" vertical="bottom"/>
    </xf>
    <xf numFmtId="3" fontId="0" borderId="4" applyNumberFormat="1" applyFont="1" applyFill="0" applyBorder="1" applyAlignment="1" applyProtection="0">
      <alignment vertical="bottom"/>
    </xf>
    <xf numFmtId="9" fontId="0" borderId="6" applyNumberFormat="1" applyFont="1" applyFill="0" applyBorder="1" applyAlignment="1" applyProtection="0">
      <alignment vertical="bottom"/>
    </xf>
    <xf numFmtId="0" fontId="0" borderId="6" applyNumberFormat="1" applyFont="1" applyFill="0" applyBorder="1" applyAlignment="1" applyProtection="0">
      <alignment vertical="bottom"/>
    </xf>
    <xf numFmtId="65" fontId="8" borderId="1" applyNumberFormat="1" applyFont="1" applyFill="0" applyBorder="1" applyAlignment="1" applyProtection="0">
      <alignment vertical="bottom"/>
    </xf>
    <xf numFmtId="65" fontId="0" borderId="1" applyNumberFormat="1" applyFont="1" applyFill="0" applyBorder="1" applyAlignment="1" applyProtection="0">
      <alignment vertical="bottom"/>
    </xf>
    <xf numFmtId="49" fontId="0" borderId="6" applyNumberFormat="1" applyFont="1" applyFill="0" applyBorder="1" applyAlignment="1" applyProtection="0">
      <alignment vertical="bottom"/>
    </xf>
    <xf numFmtId="49" fontId="8" borderId="13" applyNumberFormat="1" applyFont="1" applyFill="0" applyBorder="1" applyAlignment="1" applyProtection="0">
      <alignment vertical="bottom"/>
    </xf>
    <xf numFmtId="0" fontId="0" borderId="5" applyNumberFormat="0" applyFont="1" applyFill="0" applyBorder="1" applyAlignment="1" applyProtection="0">
      <alignment horizontal="center" vertical="bottom"/>
    </xf>
    <xf numFmtId="0" fontId="0" applyNumberFormat="1" applyFont="1" applyFill="0" applyBorder="0" applyAlignment="1" applyProtection="0">
      <alignment vertical="bottom"/>
    </xf>
    <xf numFmtId="0" fontId="8" fillId="6" borderId="3" applyNumberFormat="0" applyFont="1" applyFill="1" applyBorder="1" applyAlignment="1" applyProtection="0">
      <alignment horizontal="center" vertical="bottom"/>
    </xf>
    <xf numFmtId="59" fontId="0" borderId="3" applyNumberFormat="1" applyFont="1" applyFill="0" applyBorder="1" applyAlignment="1" applyProtection="0">
      <alignment horizontal="left" vertical="bottom" readingOrder="1"/>
    </xf>
    <xf numFmtId="59" fontId="7" borderId="14" applyNumberFormat="1" applyFont="1" applyFill="0" applyBorder="1" applyAlignment="1" applyProtection="0">
      <alignment vertical="bottom"/>
    </xf>
    <xf numFmtId="59" fontId="7" borderId="15" applyNumberFormat="1" applyFont="1" applyFill="0" applyBorder="1" applyAlignment="1" applyProtection="0">
      <alignment vertical="bottom"/>
    </xf>
    <xf numFmtId="9" fontId="7" borderId="15" applyNumberFormat="1" applyFont="1" applyFill="0" applyBorder="1" applyAlignment="1" applyProtection="0">
      <alignment vertical="bottom"/>
    </xf>
    <xf numFmtId="0" fontId="7" borderId="15" applyNumberFormat="0" applyFont="1" applyFill="0" applyBorder="1" applyAlignment="1" applyProtection="0">
      <alignment vertical="bottom"/>
    </xf>
    <xf numFmtId="59" fontId="0" borderId="15" applyNumberFormat="1" applyFont="1" applyFill="0" applyBorder="1" applyAlignment="1" applyProtection="0">
      <alignment vertical="bottom"/>
    </xf>
    <xf numFmtId="59" fontId="0" borderId="4" applyNumberFormat="1" applyFont="1" applyFill="0" applyBorder="1" applyAlignment="1" applyProtection="0">
      <alignment vertical="bottom"/>
    </xf>
    <xf numFmtId="3" fontId="0" borderId="12" applyNumberFormat="1" applyFont="1" applyFill="0" applyBorder="1" applyAlignment="1" applyProtection="0">
      <alignment horizontal="center" vertical="bottom"/>
    </xf>
    <xf numFmtId="0" fontId="0" fillId="6" borderId="5" applyNumberFormat="1" applyFont="1" applyFill="1" applyBorder="1" applyAlignment="1" applyProtection="0">
      <alignment horizontal="center" vertical="bottom"/>
    </xf>
    <xf numFmtId="3" fontId="0" borderId="4" applyNumberFormat="1" applyFont="1" applyFill="0" applyBorder="1" applyAlignment="1" applyProtection="0">
      <alignment horizontal="center" vertical="bottom"/>
    </xf>
    <xf numFmtId="3" fontId="0" borderId="1" applyNumberFormat="1" applyFont="1" applyFill="0" applyBorder="1" applyAlignment="1" applyProtection="0">
      <alignment horizontal="center" vertical="bottom"/>
    </xf>
    <xf numFmtId="0" fontId="0" borderId="1" applyNumberFormat="1" applyFont="1" applyFill="0" applyBorder="1" applyAlignment="1" applyProtection="0">
      <alignment horizontal="center" vertical="bottom"/>
    </xf>
    <xf numFmtId="0" fontId="0" borderId="6" applyNumberFormat="1" applyFont="1" applyFill="0" applyBorder="1" applyAlignment="1" applyProtection="0">
      <alignment horizontal="center" vertical="bottom"/>
    </xf>
    <xf numFmtId="0" fontId="0" borderId="5" applyNumberFormat="1" applyFont="1" applyFill="0" applyBorder="1" applyAlignment="1" applyProtection="0">
      <alignment horizontal="center" vertical="bottom"/>
    </xf>
    <xf numFmtId="49" fontId="0" fillId="6" borderId="1" applyNumberFormat="1" applyFont="1" applyFill="1" applyBorder="1" applyAlignment="1" applyProtection="0">
      <alignment vertical="bottom"/>
    </xf>
    <xf numFmtId="0" fontId="0" fillId="6" borderId="1" applyNumberFormat="1" applyFont="1" applyFill="1" applyBorder="1" applyAlignment="1" applyProtection="0">
      <alignment horizontal="center" vertical="bottom"/>
    </xf>
    <xf numFmtId="49" fontId="0" borderId="16" applyNumberFormat="1" applyFont="1" applyFill="0" applyBorder="1" applyAlignment="1" applyProtection="0">
      <alignment vertical="bottom"/>
    </xf>
    <xf numFmtId="0" fontId="0" borderId="12" applyNumberFormat="0" applyFont="1" applyFill="0" applyBorder="1" applyAlignment="1" applyProtection="0">
      <alignment horizontal="center" vertical="bottom"/>
    </xf>
    <xf numFmtId="0" fontId="0" borderId="4" applyNumberFormat="0" applyFont="1" applyFill="0" applyBorder="1" applyAlignment="1" applyProtection="0">
      <alignment horizontal="center" vertical="bottom"/>
    </xf>
    <xf numFmtId="49" fontId="8" borderId="1" applyNumberFormat="1" applyFont="1" applyFill="0" applyBorder="1" applyAlignment="1" applyProtection="0">
      <alignment horizontal="center" vertical="bottom"/>
    </xf>
    <xf numFmtId="65" fontId="0" borderId="1" applyNumberFormat="1" applyFont="1" applyFill="0" applyBorder="1" applyAlignment="1" applyProtection="0">
      <alignment horizontal="center" vertical="bottom"/>
    </xf>
    <xf numFmtId="60" fontId="0" borderId="1" applyNumberFormat="1" applyFont="1" applyFill="0" applyBorder="1" applyAlignment="1" applyProtection="0">
      <alignment horizontal="center" vertical="bottom"/>
    </xf>
    <xf numFmtId="49" fontId="0" borderId="1" applyNumberFormat="1" applyFont="1" applyFill="0" applyBorder="1" applyAlignment="1" applyProtection="0">
      <alignment horizontal="center" vertical="bottom"/>
    </xf>
    <xf numFmtId="0" fontId="0" applyNumberFormat="1" applyFont="1" applyFill="0" applyBorder="0" applyAlignment="1" applyProtection="0">
      <alignment vertical="bottom"/>
    </xf>
    <xf numFmtId="66" fontId="0" borderId="1" applyNumberFormat="1" applyFont="1" applyFill="0" applyBorder="1" applyAlignment="1" applyProtection="0">
      <alignment vertical="bottom"/>
    </xf>
    <xf numFmtId="3" fontId="0" borderId="12" applyNumberFormat="1" applyFont="1" applyFill="0" applyBorder="1" applyAlignment="1" applyProtection="0">
      <alignment vertical="bottom"/>
    </xf>
    <xf numFmtId="1" fontId="0" borderId="3" applyNumberFormat="1" applyFont="1" applyFill="0" applyBorder="1" applyAlignment="1" applyProtection="0">
      <alignment horizontal="center" vertical="bottom"/>
    </xf>
    <xf numFmtId="1" fontId="0" borderId="4" applyNumberFormat="1" applyFont="1" applyFill="0" applyBorder="1" applyAlignment="1" applyProtection="0">
      <alignment vertical="bottom"/>
    </xf>
    <xf numFmtId="1" fontId="0" borderId="1" applyNumberFormat="1" applyFont="1" applyFill="0" applyBorder="1" applyAlignment="1" applyProtection="0">
      <alignment vertical="bottom"/>
    </xf>
    <xf numFmtId="0" fontId="0" borderId="17" applyNumberFormat="1" applyFont="1" applyFill="0" applyBorder="1" applyAlignment="1" applyProtection="0">
      <alignment horizontal="center" vertical="bottom"/>
    </xf>
    <xf numFmtId="0" fontId="0" borderId="13" applyNumberFormat="1" applyFont="1" applyFill="0" applyBorder="1" applyAlignment="1" applyProtection="0">
      <alignment horizontal="center" vertical="bottom"/>
    </xf>
    <xf numFmtId="65" fontId="0" borderId="6" applyNumberFormat="1" applyFont="1" applyFill="0" applyBorder="1" applyAlignment="1" applyProtection="0">
      <alignment horizontal="center" vertical="bottom"/>
    </xf>
    <xf numFmtId="65" fontId="8" borderId="6" applyNumberFormat="1" applyFont="1" applyFill="0" applyBorder="1" applyAlignment="1" applyProtection="0">
      <alignment horizontal="center" vertical="bottom"/>
    </xf>
    <xf numFmtId="0" fontId="0" borderId="18" applyNumberFormat="1" applyFont="1" applyFill="0" applyBorder="1" applyAlignment="1" applyProtection="0">
      <alignment horizontal="center" vertical="bottom"/>
    </xf>
    <xf numFmtId="0" fontId="0" borderId="12" applyNumberFormat="1" applyFont="1" applyFill="0" applyBorder="1" applyAlignment="1" applyProtection="0">
      <alignment vertical="bottom"/>
    </xf>
    <xf numFmtId="3" fontId="0" borderId="5" applyNumberFormat="1" applyFont="1" applyFill="0" applyBorder="1" applyAlignment="1" applyProtection="0">
      <alignment vertical="bottom"/>
    </xf>
    <xf numFmtId="0" fontId="0" applyNumberFormat="1" applyFont="1" applyFill="0" applyBorder="0" applyAlignment="1" applyProtection="0">
      <alignment vertical="bottom"/>
    </xf>
    <xf numFmtId="59" fontId="0" fillId="6" borderId="3" applyNumberFormat="1" applyFont="1" applyFill="1" applyBorder="1" applyAlignment="1" applyProtection="0">
      <alignment vertical="bottom"/>
    </xf>
    <xf numFmtId="59" fontId="0" fillId="6" borderId="3" applyNumberFormat="1" applyFont="1" applyFill="1" applyBorder="1" applyAlignment="1" applyProtection="0">
      <alignment horizontal="center" vertical="bottom"/>
    </xf>
    <xf numFmtId="0" fontId="0" borderId="2" applyNumberFormat="0" applyFont="1" applyFill="0" applyBorder="1" applyAlignment="1" applyProtection="0">
      <alignment horizontal="left" vertical="bottom"/>
    </xf>
    <xf numFmtId="60" fontId="0" borderId="2" applyNumberFormat="1" applyFont="1" applyFill="0" applyBorder="1" applyAlignment="1" applyProtection="0">
      <alignment vertical="bottom"/>
    </xf>
    <xf numFmtId="66" fontId="0" borderId="2" applyNumberFormat="1" applyFont="1" applyFill="0" applyBorder="1" applyAlignment="1" applyProtection="0">
      <alignment vertical="bottom"/>
    </xf>
    <xf numFmtId="1" fontId="0" borderId="6" applyNumberFormat="1" applyFont="1" applyFill="0" applyBorder="1" applyAlignment="1" applyProtection="0">
      <alignment vertical="bottom"/>
    </xf>
    <xf numFmtId="0" fontId="0" fillId="6" borderId="12" applyNumberFormat="0" applyFont="1" applyFill="1" applyBorder="1" applyAlignment="1" applyProtection="0">
      <alignment horizontal="center" vertical="bottom"/>
    </xf>
    <xf numFmtId="0" fontId="0" borderId="12" applyNumberFormat="0" applyFont="1" applyFill="0" applyBorder="1" applyAlignment="1" applyProtection="0">
      <alignment vertical="bottom"/>
    </xf>
    <xf numFmtId="0" fontId="0" applyNumberFormat="1" applyFont="1" applyFill="0" applyBorder="0" applyAlignment="1" applyProtection="0">
      <alignment vertical="bottom"/>
    </xf>
    <xf numFmtId="59" fontId="0" fillId="6" borderId="3" applyNumberFormat="1" applyFont="1" applyFill="1" applyBorder="1" applyAlignment="1" applyProtection="0">
      <alignment horizontal="left" vertical="bottom" readingOrder="1"/>
    </xf>
    <xf numFmtId="49" fontId="7" fillId="7" borderId="4" applyNumberFormat="1" applyFont="1" applyFill="1" applyBorder="1" applyAlignment="1" applyProtection="0">
      <alignment vertical="bottom"/>
    </xf>
    <xf numFmtId="59" fontId="0" fillId="7" borderId="3" applyNumberFormat="1" applyFont="1" applyFill="1" applyBorder="1" applyAlignment="1" applyProtection="0">
      <alignment vertical="bottom"/>
    </xf>
    <xf numFmtId="0" fontId="0" fillId="6" borderId="4" applyNumberFormat="0" applyFont="1" applyFill="1" applyBorder="1" applyAlignment="1" applyProtection="0">
      <alignment horizontal="center" vertical="bottom"/>
    </xf>
    <xf numFmtId="0" fontId="0" borderId="17" applyNumberFormat="0" applyFont="1" applyFill="0" applyBorder="1" applyAlignment="1" applyProtection="0">
      <alignment horizontal="center" vertical="bottom"/>
    </xf>
    <xf numFmtId="0" fontId="0" borderId="18" applyNumberFormat="0" applyFont="1" applyFill="0" applyBorder="1" applyAlignment="1" applyProtection="0">
      <alignment horizontal="center" vertical="bottom"/>
    </xf>
    <xf numFmtId="0" fontId="0" applyNumberFormat="1" applyFont="1" applyFill="0" applyBorder="0" applyAlignment="1" applyProtection="0">
      <alignment vertical="bottom"/>
    </xf>
    <xf numFmtId="3" fontId="0" borderId="17" applyNumberFormat="1" applyFont="1" applyFill="0" applyBorder="1" applyAlignment="1" applyProtection="0">
      <alignment horizontal="center" vertical="bottom"/>
    </xf>
    <xf numFmtId="3" fontId="0" borderId="6" applyNumberFormat="1" applyFont="1" applyFill="0" applyBorder="1" applyAlignment="1" applyProtection="0">
      <alignment horizontal="center" vertical="bottom"/>
    </xf>
    <xf numFmtId="0" fontId="0" borderId="13" applyNumberFormat="0" applyFont="1" applyFill="0" applyBorder="1" applyAlignment="1" applyProtection="0">
      <alignment horizontal="center" vertical="bottom"/>
    </xf>
    <xf numFmtId="49" fontId="0" borderId="1" applyNumberFormat="1" applyFont="1" applyFill="0" applyBorder="1" applyAlignment="1" applyProtection="0">
      <alignment horizontal="right" vertical="bottom"/>
    </xf>
    <xf numFmtId="49" fontId="8" borderId="1" applyNumberFormat="1" applyFont="1" applyFill="0" applyBorder="1" applyAlignment="1" applyProtection="0">
      <alignment horizontal="left" vertical="bottom"/>
    </xf>
    <xf numFmtId="0" fontId="0" applyNumberFormat="1" applyFont="1" applyFill="0" applyBorder="0" applyAlignment="1" applyProtection="0">
      <alignment vertical="bottom"/>
    </xf>
    <xf numFmtId="0" fontId="0" fillId="6" borderId="3" applyNumberFormat="0" applyFont="1" applyFill="1" applyBorder="1" applyAlignment="1" applyProtection="0">
      <alignment vertical="bottom"/>
    </xf>
    <xf numFmtId="3" fontId="7" borderId="15" applyNumberFormat="1" applyFont="1" applyFill="0" applyBorder="1" applyAlignment="1" applyProtection="0">
      <alignment vertical="bottom"/>
    </xf>
    <xf numFmtId="3" fontId="0" borderId="2" applyNumberFormat="1" applyFont="1" applyFill="0" applyBorder="1" applyAlignment="1" applyProtection="0">
      <alignment vertical="bottom"/>
    </xf>
    <xf numFmtId="0" fontId="0" fillId="6" borderId="5" applyNumberFormat="0" applyFont="1" applyFill="1" applyBorder="1" applyAlignment="1" applyProtection="0">
      <alignment horizontal="center" vertical="bottom"/>
    </xf>
    <xf numFmtId="0" fontId="0" fillId="6" borderId="1" applyNumberFormat="0" applyFont="1" applyFill="1" applyBorder="1" applyAlignment="1" applyProtection="0">
      <alignment horizontal="center" vertical="bottom"/>
    </xf>
    <xf numFmtId="0" fontId="0" applyNumberFormat="1" applyFont="1" applyFill="0" applyBorder="0" applyAlignment="1" applyProtection="0">
      <alignment vertical="bottom"/>
    </xf>
    <xf numFmtId="9" fontId="0" borderId="4" applyNumberFormat="1" applyFont="1" applyFill="0" applyBorder="1" applyAlignment="1" applyProtection="0">
      <alignment vertical="bottom"/>
    </xf>
    <xf numFmtId="0" fontId="8" borderId="19" applyNumberFormat="0" applyFont="1" applyFill="0" applyBorder="1" applyAlignment="1" applyProtection="0">
      <alignment horizontal="center" vertical="bottom"/>
    </xf>
    <xf numFmtId="65" fontId="8" borderId="3" applyNumberFormat="1" applyFont="1" applyFill="0" applyBorder="1" applyAlignment="1" applyProtection="0">
      <alignment horizontal="center" vertical="bottom"/>
    </xf>
    <xf numFmtId="49" fontId="8" borderId="5" applyNumberFormat="1" applyFont="1" applyFill="0" applyBorder="1" applyAlignment="1" applyProtection="0">
      <alignment horizontal="center" vertical="bottom"/>
    </xf>
    <xf numFmtId="67" fontId="0" borderId="1" applyNumberFormat="1" applyFont="1" applyFill="0" applyBorder="1" applyAlignment="1" applyProtection="0">
      <alignment horizontal="center" vertical="bottom"/>
    </xf>
    <xf numFmtId="0" fontId="0" applyNumberFormat="1" applyFont="1" applyFill="0" applyBorder="0" applyAlignment="1" applyProtection="0">
      <alignment vertical="bottom"/>
    </xf>
    <xf numFmtId="49" fontId="8" borderId="5" applyNumberFormat="1" applyFont="1" applyFill="0" applyBorder="1" applyAlignment="1" applyProtection="0">
      <alignment horizontal="center" vertical="bottom" wrapText="1"/>
    </xf>
    <xf numFmtId="49" fontId="8" borderId="1" applyNumberFormat="1" applyFont="1" applyFill="0" applyBorder="1" applyAlignment="1" applyProtection="0">
      <alignment horizontal="center" vertical="bottom" wrapText="1"/>
    </xf>
    <xf numFmtId="60" fontId="0" borderId="2" applyNumberFormat="1" applyFont="1" applyFill="0" applyBorder="1" applyAlignment="1" applyProtection="0">
      <alignment horizontal="center"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00"/>
      <rgbColor rgb="ffffffff"/>
      <rgbColor rgb="ff878787"/>
      <rgbColor rgb="00000000"/>
      <rgbColor rgb="ff3e7fcd"/>
      <rgbColor rgb="ffd13f3b"/>
      <rgbColor rgb="ffa0c94a"/>
      <rgbColor rgb="ffdaffa3"/>
      <rgbColor rgb="ff7f5aab"/>
      <rgbColor rgb="ffc6aded"/>
      <rgbColor rgb="ff38b6d8"/>
      <rgbColor rgb="ffff953d"/>
      <rgbColor rgb="fffefc78"/>
      <rgbColor rgb="ff75d5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9.xml"/><Relationship Id="rId14" Type="http://schemas.openxmlformats.org/officeDocument/2006/relationships/worksheet" Target="worksheets/sheet10.xml"/><Relationship Id="rId15" Type="http://schemas.openxmlformats.org/officeDocument/2006/relationships/worksheet" Target="worksheets/sheet11.xml"/><Relationship Id="rId16" Type="http://schemas.openxmlformats.org/officeDocument/2006/relationships/worksheet" Target="worksheets/sheet12.xml"/></Relationships>

</file>

<file path=xl/charts/chart1.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1" i="0" strike="noStrike" sz="1800" u="none">
                <a:solidFill>
                  <a:srgbClr val="000000"/>
                </a:solidFill>
                <a:latin typeface="Calibri"/>
              </a:defRPr>
            </a:pPr>
            <a:r>
              <a:rPr b="1" i="0" strike="noStrike" sz="1800" u="none">
                <a:solidFill>
                  <a:srgbClr val="000000"/>
                </a:solidFill>
                <a:latin typeface="Calibri"/>
              </a:rPr>
              <a:t>DIEZMOS</a:t>
            </a:r>
          </a:p>
        </c:rich>
      </c:tx>
      <c:layout>
        <c:manualLayout>
          <c:xMode val="edge"/>
          <c:yMode val="edge"/>
          <c:x val="0.343205"/>
          <c:y val="0"/>
          <c:w val="0.139508"/>
          <c:h val="0.157082"/>
        </c:manualLayout>
      </c:layout>
      <c:overlay val="1"/>
      <c:spPr>
        <a:noFill/>
        <a:effectLst/>
      </c:spPr>
    </c:title>
    <c:autoTitleDeleted val="1"/>
    <c:plotArea>
      <c:layout>
        <c:manualLayout>
          <c:layoutTarget val="inner"/>
          <c:xMode val="edge"/>
          <c:yMode val="edge"/>
          <c:x val="0.216133"/>
          <c:y val="0.157082"/>
          <c:w val="0.609785"/>
          <c:h val="0.743014"/>
        </c:manualLayout>
      </c:layout>
      <c:barChart>
        <c:barDir val="col"/>
        <c:grouping val="clustered"/>
        <c:varyColors val="0"/>
        <c:ser>
          <c:idx val="0"/>
          <c:order val="0"/>
          <c:tx>
            <c:strRef>
              <c:f>'2015'!$A$64</c:f>
              <c:strCache>
                <c:ptCount val="1"/>
                <c:pt idx="0">
                  <c:v>DIEZMOS</c:v>
                </c:pt>
              </c:strCache>
            </c:strRef>
          </c:tx>
          <c:spPr>
            <a:gradFill flip="none" rotWithShape="1">
              <a:gsLst>
                <a:gs pos="0">
                  <a:srgbClr val="3F80CE"/>
                </a:gs>
                <a:gs pos="100000">
                  <a:schemeClr val="accent1">
                    <a:hueOff val="357503"/>
                    <a:satOff val="54545"/>
                    <a:lumOff val="29273"/>
                  </a:schemeClr>
                </a:gs>
              </a:gsLst>
              <a:lin ang="16200000" scaled="0"/>
            </a:gradFill>
            <a:ln w="12700" cap="flat">
              <a:noFill/>
              <a:miter lim="400000"/>
            </a:ln>
            <a:effectLst>
              <a:outerShdw sx="100000" sy="100000" kx="0" ky="0" algn="tl" rotWithShape="1" blurRad="38100" dist="23000" dir="5400000">
                <a:srgbClr val="000000">
                  <a:alpha val="35000"/>
                </a:srgbClr>
              </a:outerShdw>
            </a:effectLst>
          </c:spPr>
          <c:invertIfNegative val="0"/>
          <c:dLbls>
            <c:numFmt formatCode="&quot; &quot;#,##0&quot; &quot;;&quot; '(&quot;#,##0);&quot; '-&quot;??&quot; &quot;" sourceLinked="0"/>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0"/>
          </c:dLbls>
          <c:cat>
            <c:strRef>
              <c:f>'2015'!$B$63:$M$63</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'2015'!$B$64:$M$64</c:f>
              <c:numCache>
                <c:ptCount val="12"/>
                <c:pt idx="0">
                  <c:v>25344200.000000</c:v>
                </c:pt>
                <c:pt idx="1">
                  <c:v>47149050.000000</c:v>
                </c:pt>
                <c:pt idx="2">
                  <c:v>136375482.000000</c:v>
                </c:pt>
                <c:pt idx="3">
                  <c:v>110377400.000000</c:v>
                </c:pt>
                <c:pt idx="4">
                  <c:v>155528522.000000</c:v>
                </c:pt>
                <c:pt idx="5">
                  <c:v>100097250.000000</c:v>
                </c:pt>
                <c:pt idx="6">
                  <c:v>121578717.000000</c:v>
                </c:pt>
                <c:pt idx="7">
                  <c:v>175054090.000000</c:v>
                </c:pt>
                <c:pt idx="8">
                  <c:v>130552742.000000</c:v>
                </c:pt>
                <c:pt idx="9">
                  <c:v>144479137.000000</c:v>
                </c:pt>
                <c:pt idx="10">
                  <c:v>195730733.000000</c:v>
                </c:pt>
                <c:pt idx="11">
                  <c:v>183279151.000000</c:v>
                </c:pt>
              </c:numCache>
            </c:numRef>
          </c:val>
        </c:ser>
        <c:gapWidth val="150"/>
        <c:overlap val="0"/>
        <c:axId val="2094734552"/>
        <c:axId val="2094734553"/>
      </c:barChart>
      <c:catAx>
        <c:axId val="2094734552"/>
        <c:scaling>
          <c:orientation val="minMax"/>
        </c:scaling>
        <c:delete val="0"/>
        <c:axPos val="b"/>
        <c:numFmt formatCode="General" sourceLinked="1"/>
        <c:majorTickMark val="out"/>
        <c:minorTickMark val="none"/>
        <c:tickLblPos val="low"/>
        <c:spPr>
          <a:ln w="12700" cap="flat">
            <a:solidFill>
              <a:srgbClr val="888888"/>
            </a:solidFill>
            <a:prstDash val="solid"/>
            <a:round/>
          </a:ln>
        </c:spPr>
        <c:txPr>
          <a:bodyPr rot="0"/>
          <a:lstStyle/>
          <a:p>
            <a:pPr>
              <a:defRPr b="0" i="0" strike="noStrike" sz="1000" u="none">
                <a:solidFill>
                  <a:srgbClr val="000000"/>
                </a:solidFill>
                <a:latin typeface="Calibri"/>
              </a:defRPr>
            </a:pPr>
          </a:p>
        </c:txPr>
        <c:crossAx val="2094734553"/>
        <c:crosses val="autoZero"/>
        <c:auto val="1"/>
        <c:lblAlgn val="ctr"/>
        <c:noMultiLvlLbl val="1"/>
      </c:catAx>
      <c:valAx>
        <c:axId val="2094734553"/>
        <c:scaling>
          <c:orientation val="minMax"/>
        </c:scaling>
        <c:delete val="0"/>
        <c:axPos val="l"/>
        <c:majorGridlines>
          <c:spPr>
            <a:ln w="12700" cap="flat">
              <a:solidFill>
                <a:srgbClr val="888888"/>
              </a:solidFill>
              <a:prstDash val="solid"/>
              <a:round/>
            </a:ln>
          </c:spPr>
        </c:majorGridlines>
        <c:numFmt formatCode="General" sourceLinked="1"/>
        <c:majorTickMark val="out"/>
        <c:minorTickMark val="none"/>
        <c:tickLblPos val="nextTo"/>
        <c:spPr>
          <a:ln w="12700" cap="flat">
            <a:solidFill>
              <a:srgbClr val="888888"/>
            </a:solidFill>
            <a:prstDash val="solid"/>
            <a:round/>
          </a:ln>
        </c:spPr>
        <c:txPr>
          <a:bodyPr rot="0"/>
          <a:lstStyle/>
          <a:p>
            <a:pPr>
              <a:defRPr b="0" i="0" strike="noStrike" sz="1000" u="none">
                <a:solidFill>
                  <a:srgbClr val="000000"/>
                </a:solidFill>
                <a:latin typeface="Calibri"/>
              </a:defRPr>
            </a:pPr>
          </a:p>
        </c:txPr>
        <c:crossAx val="2094734552"/>
        <c:crosses val="autoZero"/>
        <c:crossBetween val="between"/>
        <c:majorUnit val="5e+07"/>
        <c:minorUnit val="2.5e+07"/>
      </c:valAx>
      <c:spPr>
        <a:solidFill>
          <a:srgbClr val="FFFFFF"/>
        </a:solidFill>
        <a:ln w="12700" cap="flat">
          <a:noFill/>
          <a:miter lim="400000"/>
        </a:ln>
        <a:effectLst/>
      </c:spPr>
    </c:plotArea>
    <c:legend>
      <c:legendPos val="r"/>
      <c:layout>
        <c:manualLayout>
          <c:xMode val="edge"/>
          <c:yMode val="edge"/>
          <c:x val="0.857347"/>
          <c:y val="0.451594"/>
          <c:w val="0.142653"/>
          <c:h val="0.0789969"/>
        </c:manualLayout>
      </c:layout>
      <c:overlay val="1"/>
      <c:spPr>
        <a:noFill/>
        <a:ln w="12700" cap="flat">
          <a:noFill/>
          <a:miter lim="400000"/>
        </a:ln>
        <a:effectLst/>
      </c:spPr>
      <c:txPr>
        <a:bodyPr rot="0"/>
        <a:lstStyle/>
        <a:p>
          <a:pPr>
            <a:defRPr b="0" i="0" strike="noStrike" sz="1000" u="none">
              <a:solidFill>
                <a:srgbClr val="000000"/>
              </a:solidFill>
              <a:latin typeface="Calibri"/>
            </a:defRPr>
          </a:pPr>
        </a:p>
      </c:txPr>
    </c:legend>
    <c:plotVisOnly val="1"/>
    <c:dispBlanksAs val="gap"/>
  </c:chart>
  <c:spPr>
    <a:solidFill>
      <a:srgbClr val="FFFFFF"/>
    </a:solidFill>
    <a:ln w="12700" cap="flat">
      <a:solidFill>
        <a:srgbClr val="888888"/>
      </a:solidFill>
      <a:prstDash val="solid"/>
      <a:round/>
    </a:ln>
    <a:effectLst/>
  </c:spPr>
</c:chartSpace>
</file>

<file path=xl/charts/chart2.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702073"/>
          <c:y val="0.0602029"/>
          <c:w val="0.679216"/>
          <c:h val="0.829847"/>
        </c:manualLayout>
      </c:layout>
      <c:barChart>
        <c:barDir val="col"/>
        <c:grouping val="clustered"/>
        <c:varyColors val="0"/>
        <c:ser>
          <c:idx val="0"/>
          <c:order val="0"/>
          <c:tx>
            <c:strRef>
              <c:f>'2015'!$A$30</c:f>
              <c:strCache>
                <c:ptCount val="1"/>
                <c:pt idx="0">
                  <c:v>CONVERSIONES</c:v>
                </c:pt>
              </c:strCache>
            </c:strRef>
          </c:tx>
          <c:spPr>
            <a:gradFill flip="none" rotWithShape="1">
              <a:gsLst>
                <a:gs pos="0">
                  <a:srgbClr val="3F80CE"/>
                </a:gs>
                <a:gs pos="100000">
                  <a:schemeClr val="accent1">
                    <a:hueOff val="357503"/>
                    <a:satOff val="54545"/>
                    <a:lumOff val="29273"/>
                  </a:schemeClr>
                </a:gs>
              </a:gsLst>
              <a:lin ang="16200000" scaled="0"/>
            </a:gradFill>
            <a:ln w="12700" cap="flat">
              <a:noFill/>
              <a:miter lim="400000"/>
            </a:ln>
            <a:effectLst>
              <a:outerShdw sx="100000" sy="100000" kx="0" ky="0" algn="tl" rotWithShape="1" blurRad="38100" dist="23000" dir="5400000">
                <a:srgbClr val="000000">
                  <a:alpha val="35000"/>
                </a:srgbClr>
              </a:outerShdw>
            </a:effectLst>
          </c:spPr>
          <c:invertIfNegative val="0"/>
          <c:dLbls>
            <c:numFmt formatCode="General" sourceLinked="1"/>
            <c:txPr>
              <a:bodyPr/>
              <a:lstStyle/>
              <a:p>
                <a:pPr>
                  <a:defRPr b="0" i="0" strike="noStrike" sz="1000" u="none">
                    <a:solidFill>
                      <a:srgbClr val="000000"/>
                    </a:solidFill>
                    <a:latin typeface="Calibri"/>
                  </a:defRPr>
                </a:pPr>
              </a:p>
            </c:txPr>
            <c:dLblPos val="outEnd"/>
            <c:showLegendKey val="0"/>
            <c:showVal val="1"/>
            <c:showCatName val="0"/>
            <c:showSerName val="0"/>
            <c:showPercent val="0"/>
            <c:showBubbleSize val="0"/>
            <c:showLeaderLines val="0"/>
          </c:dLbls>
          <c:cat>
            <c:strRef>
              <c:f>'2015'!$B$29:$M$29</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'2015'!$B$30:$M$30</c:f>
              <c:numCache>
                <c:ptCount val="12"/>
                <c:pt idx="0">
                  <c:v>38.000000</c:v>
                </c:pt>
                <c:pt idx="1">
                  <c:v>43.000000</c:v>
                </c:pt>
                <c:pt idx="2">
                  <c:v>94.000000</c:v>
                </c:pt>
                <c:pt idx="3">
                  <c:v>75.000000</c:v>
                </c:pt>
                <c:pt idx="4">
                  <c:v>74.000000</c:v>
                </c:pt>
                <c:pt idx="5">
                  <c:v>88.000000</c:v>
                </c:pt>
                <c:pt idx="6">
                  <c:v>95.000000</c:v>
                </c:pt>
                <c:pt idx="7">
                  <c:v>67.000000</c:v>
                </c:pt>
                <c:pt idx="8">
                  <c:v>79.000000</c:v>
                </c:pt>
                <c:pt idx="9">
                  <c:v>64.000000</c:v>
                </c:pt>
                <c:pt idx="10">
                  <c:v>87.000000</c:v>
                </c:pt>
                <c:pt idx="11">
                  <c:v>58.000000</c:v>
                </c:pt>
              </c:numCache>
            </c:numRef>
          </c:val>
        </c:ser>
        <c:ser>
          <c:idx val="1"/>
          <c:order val="1"/>
          <c:tx>
            <c:strRef>
              <c:f>'2015'!$A$31</c:f>
              <c:strCache>
                <c:ptCount val="1"/>
                <c:pt idx="0">
                  <c:v>VIDA NUEVA</c:v>
                </c:pt>
              </c:strCache>
            </c:strRef>
          </c:tx>
          <c:spPr>
            <a:gradFill flip="none" rotWithShape="1">
              <a:gsLst>
                <a:gs pos="0">
                  <a:srgbClr val="D1403C"/>
                </a:gs>
                <a:gs pos="100000">
                  <a:schemeClr val="accent2">
                    <a:hueOff val="-39879"/>
                    <a:satOff val="52282"/>
                    <a:lumOff val="29251"/>
                  </a:schemeClr>
                </a:gs>
              </a:gsLst>
              <a:lin ang="16200000" scaled="0"/>
            </a:gradFill>
            <a:ln w="12700" cap="flat">
              <a:noFill/>
              <a:miter lim="400000"/>
            </a:ln>
            <a:effectLst>
              <a:outerShdw sx="100000" sy="100000" kx="0" ky="0" algn="tl" rotWithShape="1" blurRad="38100" dist="23000" dir="5400000">
                <a:srgbClr val="000000">
                  <a:alpha val="35000"/>
                </a:srgbClr>
              </a:outerShdw>
            </a:effectLst>
          </c:spPr>
          <c:invertIfNegative val="0"/>
          <c:dLbls>
            <c:numFmt formatCode="General" sourceLinked="1"/>
            <c:txPr>
              <a:bodyPr/>
              <a:lstStyle/>
              <a:p>
                <a:pPr>
                  <a:defRPr b="0" i="0" strike="noStrike" sz="1000" u="none">
                    <a:solidFill>
                      <a:srgbClr val="000000"/>
                    </a:solidFill>
                    <a:latin typeface="Calibri"/>
                  </a:defRPr>
                </a:pPr>
              </a:p>
            </c:txPr>
            <c:dLblPos val="outEnd"/>
            <c:showLegendKey val="0"/>
            <c:showVal val="1"/>
            <c:showCatName val="0"/>
            <c:showSerName val="0"/>
            <c:showPercent val="0"/>
            <c:showBubbleSize val="0"/>
            <c:showLeaderLines val="0"/>
          </c:dLbls>
          <c:cat>
            <c:strRef>
              <c:f>'2015'!$B$29:$M$29</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'2015'!$B$31:$M$31</c:f>
              <c:numCache>
                <c:ptCount val="10"/>
                <c:pt idx="1">
                  <c:v>28.000000</c:v>
                </c:pt>
                <c:pt idx="2">
                  <c:v>23.000000</c:v>
                </c:pt>
                <c:pt idx="3">
                  <c:v>36.000000</c:v>
                </c:pt>
                <c:pt idx="4">
                  <c:v>14.000000</c:v>
                </c:pt>
                <c:pt idx="5">
                  <c:v>21.000000</c:v>
                </c:pt>
                <c:pt idx="6">
                  <c:v>25.000000</c:v>
                </c:pt>
                <c:pt idx="7">
                  <c:v>27.000000</c:v>
                </c:pt>
                <c:pt idx="8">
                  <c:v>53.000000</c:v>
                </c:pt>
                <c:pt idx="9">
                  <c:v>28.000000</c:v>
                </c:pt>
                <c:pt idx="10">
                  <c:v>21.000000</c:v>
                </c:pt>
              </c:numCache>
            </c:numRef>
          </c:val>
        </c:ser>
        <c:ser>
          <c:idx val="2"/>
          <c:order val="2"/>
          <c:tx>
            <c:strRef>
              <c:f>'2015'!$A$32</c:f>
              <c:strCache>
                <c:ptCount val="1"/>
                <c:pt idx="0">
                  <c:v>BAUTIZOS</c:v>
                </c:pt>
              </c:strCache>
            </c:strRef>
          </c:tx>
          <c:spPr>
            <a:gradFill flip="none" rotWithShape="1">
              <a:gsLst>
                <a:gs pos="0">
                  <a:srgbClr val="A0CA4A"/>
                </a:gs>
                <a:gs pos="100000">
                  <a:srgbClr val="DAFFA3"/>
                </a:gs>
              </a:gsLst>
              <a:lin ang="16200000" scaled="0"/>
            </a:gradFill>
            <a:ln w="12700" cap="flat">
              <a:noFill/>
              <a:miter lim="400000"/>
            </a:ln>
            <a:effectLst>
              <a:outerShdw sx="100000" sy="100000" kx="0" ky="0" algn="tl" rotWithShape="1" blurRad="38100" dist="23000" dir="5400000">
                <a:srgbClr val="000000">
                  <a:alpha val="35000"/>
                </a:srgbClr>
              </a:outerShdw>
            </a:effectLst>
          </c:spPr>
          <c:invertIfNegative val="0"/>
          <c:dLbls>
            <c:numFmt formatCode="&quot; &quot;#,##0&quot; &quot;;&quot;-&quot;#,##0&quot; &quot;;&quot; '- &quot;" sourceLinked="0"/>
            <c:txPr>
              <a:bodyPr/>
              <a:lstStyle/>
              <a:p>
                <a:pPr>
                  <a:defRPr b="0" i="0" strike="noStrike" sz="1000" u="none">
                    <a:solidFill>
                      <a:srgbClr val="000000"/>
                    </a:solidFill>
                    <a:latin typeface="Calibri"/>
                  </a:defRPr>
                </a:pPr>
              </a:p>
            </c:txPr>
            <c:dLblPos val="outEnd"/>
            <c:showLegendKey val="0"/>
            <c:showVal val="1"/>
            <c:showCatName val="0"/>
            <c:showSerName val="0"/>
            <c:showPercent val="0"/>
            <c:showBubbleSize val="0"/>
            <c:showLeaderLines val="0"/>
          </c:dLbls>
          <c:cat>
            <c:strRef>
              <c:f>'2015'!$B$29:$M$29</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'2015'!$B$32:$M$32</c:f>
              <c:numCache>
                <c:ptCount val="4"/>
                <c:pt idx="2">
                  <c:v>6.000000</c:v>
                </c:pt>
                <c:pt idx="3">
                  <c:v>10.000000</c:v>
                </c:pt>
                <c:pt idx="4">
                  <c:v>15.000000</c:v>
                </c:pt>
                <c:pt idx="8">
                  <c:v>20.000000</c:v>
                </c:pt>
              </c:numCache>
            </c:numRef>
          </c:val>
        </c:ser>
        <c:gapWidth val="150"/>
        <c:overlap val="0"/>
        <c:axId val="2094734552"/>
        <c:axId val="2094734553"/>
      </c:barChart>
      <c:catAx>
        <c:axId val="2094734552"/>
        <c:scaling>
          <c:orientation val="minMax"/>
        </c:scaling>
        <c:delete val="0"/>
        <c:axPos val="b"/>
        <c:numFmt formatCode="General" sourceLinked="1"/>
        <c:majorTickMark val="out"/>
        <c:minorTickMark val="none"/>
        <c:tickLblPos val="low"/>
        <c:spPr>
          <a:ln w="12700" cap="flat">
            <a:solidFill>
              <a:srgbClr val="888888"/>
            </a:solidFill>
            <a:prstDash val="solid"/>
            <a:round/>
          </a:ln>
        </c:spPr>
        <c:txPr>
          <a:bodyPr rot="0"/>
          <a:lstStyle/>
          <a:p>
            <a:pPr>
              <a:defRPr b="0" i="0" strike="noStrike" sz="1000" u="none">
                <a:solidFill>
                  <a:srgbClr val="000000"/>
                </a:solidFill>
                <a:latin typeface="Calibri"/>
              </a:defRPr>
            </a:pPr>
          </a:p>
        </c:txPr>
        <c:crossAx val="2094734553"/>
        <c:crosses val="autoZero"/>
        <c:auto val="1"/>
        <c:lblAlgn val="ctr"/>
        <c:noMultiLvlLbl val="1"/>
      </c:catAx>
      <c:valAx>
        <c:axId val="2094734553"/>
        <c:scaling>
          <c:orientation val="minMax"/>
        </c:scaling>
        <c:delete val="0"/>
        <c:axPos val="l"/>
        <c:majorGridlines>
          <c:spPr>
            <a:ln w="12700" cap="flat">
              <a:solidFill>
                <a:srgbClr val="888888"/>
              </a:solidFill>
              <a:prstDash val="solid"/>
              <a:round/>
            </a:ln>
          </c:spPr>
        </c:majorGridlines>
        <c:numFmt formatCode="General" sourceLinked="1"/>
        <c:majorTickMark val="out"/>
        <c:minorTickMark val="none"/>
        <c:tickLblPos val="nextTo"/>
        <c:spPr>
          <a:ln w="12700" cap="flat">
            <a:solidFill>
              <a:srgbClr val="888888"/>
            </a:solidFill>
            <a:prstDash val="solid"/>
            <a:round/>
          </a:ln>
        </c:spPr>
        <c:txPr>
          <a:bodyPr rot="0"/>
          <a:lstStyle/>
          <a:p>
            <a:pPr>
              <a:defRPr b="0" i="0" strike="noStrike" sz="1000" u="none">
                <a:solidFill>
                  <a:srgbClr val="000000"/>
                </a:solidFill>
                <a:latin typeface="Calibri"/>
              </a:defRPr>
            </a:pPr>
          </a:p>
        </c:txPr>
        <c:crossAx val="2094734552"/>
        <c:crosses val="autoZero"/>
        <c:crossBetween val="between"/>
        <c:majorUnit val="25"/>
        <c:minorUnit val="12.5"/>
      </c:valAx>
      <c:spPr>
        <a:solidFill>
          <a:srgbClr val="FFFFFF"/>
        </a:solidFill>
        <a:ln w="12700" cap="flat">
          <a:noFill/>
          <a:miter lim="400000"/>
        </a:ln>
        <a:effectLst/>
      </c:spPr>
    </c:plotArea>
    <c:legend>
      <c:legendPos val="r"/>
      <c:layout>
        <c:manualLayout>
          <c:xMode val="edge"/>
          <c:yMode val="edge"/>
          <c:x val="0.786192"/>
          <c:y val="0.389282"/>
          <c:w val="0.213808"/>
          <c:h val="0.205609"/>
        </c:manualLayout>
      </c:layout>
      <c:overlay val="1"/>
      <c:spPr>
        <a:noFill/>
        <a:ln w="12700" cap="flat">
          <a:noFill/>
          <a:miter lim="400000"/>
        </a:ln>
        <a:effectLst/>
      </c:spPr>
      <c:txPr>
        <a:bodyPr rot="0"/>
        <a:lstStyle/>
        <a:p>
          <a:pPr>
            <a:defRPr b="0" i="0" strike="noStrike" sz="1000" u="none">
              <a:solidFill>
                <a:srgbClr val="000000"/>
              </a:solidFill>
              <a:latin typeface="Calibri"/>
            </a:defRPr>
          </a:pPr>
        </a:p>
      </c:txPr>
    </c:legend>
    <c:plotVisOnly val="1"/>
    <c:dispBlanksAs val="gap"/>
  </c:chart>
  <c:spPr>
    <a:solidFill>
      <a:srgbClr val="FFFFFF"/>
    </a:solidFill>
    <a:ln w="12700" cap="flat">
      <a:solidFill>
        <a:srgbClr val="888888"/>
      </a:solidFill>
      <a:prstDash val="solid"/>
      <a:round/>
    </a:ln>
    <a:effectLst/>
  </c:spPr>
</c:chartSpace>
</file>

<file path=xl/charts/chart3.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669674"/>
          <c:y val="0.0602029"/>
          <c:w val="0.670416"/>
          <c:h val="0.829847"/>
        </c:manualLayout>
      </c:layout>
      <c:barChart>
        <c:barDir val="col"/>
        <c:grouping val="clustered"/>
        <c:varyColors val="0"/>
        <c:ser>
          <c:idx val="0"/>
          <c:order val="0"/>
          <c:tx>
            <c:strRef>
              <c:f>'2015'!$A$36</c:f>
              <c:strCache>
                <c:ptCount val="1"/>
                <c:pt idx="0">
                  <c:v>TIMOTEOS</c:v>
                </c:pt>
              </c:strCache>
            </c:strRef>
          </c:tx>
          <c:spPr>
            <a:gradFill flip="none" rotWithShape="1">
              <a:gsLst>
                <a:gs pos="0">
                  <a:srgbClr val="3F80CE"/>
                </a:gs>
                <a:gs pos="100000">
                  <a:schemeClr val="accent1">
                    <a:hueOff val="357503"/>
                    <a:satOff val="54545"/>
                    <a:lumOff val="29273"/>
                  </a:schemeClr>
                </a:gs>
              </a:gsLst>
              <a:lin ang="16200000" scaled="0"/>
            </a:gradFill>
            <a:ln w="12700" cap="flat">
              <a:noFill/>
              <a:miter lim="400000"/>
            </a:ln>
            <a:effectLst>
              <a:outerShdw sx="100000" sy="100000" kx="0" ky="0" algn="tl" rotWithShape="1" blurRad="38100" dist="23000" dir="5400000">
                <a:srgbClr val="000000">
                  <a:alpha val="35000"/>
                </a:srgbClr>
              </a:outerShdw>
            </a:effectLst>
          </c:spPr>
          <c:invertIfNegative val="0"/>
          <c:dLbls>
            <c:numFmt formatCode="General" sourceLinked="1"/>
            <c:txPr>
              <a:bodyPr/>
              <a:lstStyle/>
              <a:p>
                <a:pPr>
                  <a:defRPr b="0" i="0" strike="noStrike" sz="1000" u="none">
                    <a:solidFill>
                      <a:srgbClr val="000000"/>
                    </a:solidFill>
                    <a:latin typeface="Calibri"/>
                  </a:defRPr>
                </a:pPr>
              </a:p>
            </c:txPr>
            <c:dLblPos val="outEnd"/>
            <c:showLegendKey val="0"/>
            <c:showVal val="1"/>
            <c:showCatName val="0"/>
            <c:showSerName val="0"/>
            <c:showPercent val="0"/>
            <c:showBubbleSize val="0"/>
            <c:showLeaderLines val="0"/>
          </c:dLbls>
          <c:cat>
            <c:strRef>
              <c:f>'2015'!$B$35:$M$35</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'2015'!$B$36:$M$36</c:f>
              <c:numCache>
                <c:ptCount val="12"/>
                <c:pt idx="0">
                  <c:v>97.000000</c:v>
                </c:pt>
                <c:pt idx="1">
                  <c:v>116.000000</c:v>
                </c:pt>
                <c:pt idx="2">
                  <c:v>147.000000</c:v>
                </c:pt>
                <c:pt idx="3">
                  <c:v>139.000000</c:v>
                </c:pt>
                <c:pt idx="4">
                  <c:v>131.000000</c:v>
                </c:pt>
                <c:pt idx="5">
                  <c:v>130.000000</c:v>
                </c:pt>
                <c:pt idx="6">
                  <c:v>145.000000</c:v>
                </c:pt>
                <c:pt idx="7">
                  <c:v>167.000000</c:v>
                </c:pt>
                <c:pt idx="8">
                  <c:v>155.000000</c:v>
                </c:pt>
                <c:pt idx="9">
                  <c:v>142.000000</c:v>
                </c:pt>
                <c:pt idx="10">
                  <c:v>176.000000</c:v>
                </c:pt>
                <c:pt idx="11">
                  <c:v>176.000000</c:v>
                </c:pt>
              </c:numCache>
            </c:numRef>
          </c:val>
        </c:ser>
        <c:ser>
          <c:idx val="1"/>
          <c:order val="1"/>
          <c:tx>
            <c:strRef>
              <c:f>'2015'!$A$37</c:f>
              <c:strCache>
                <c:ptCount val="1"/>
                <c:pt idx="0">
                  <c:v>CASADOS</c:v>
                </c:pt>
              </c:strCache>
            </c:strRef>
          </c:tx>
          <c:spPr>
            <a:gradFill flip="none" rotWithShape="1">
              <a:gsLst>
                <a:gs pos="0">
                  <a:srgbClr val="D1403C"/>
                </a:gs>
                <a:gs pos="100000">
                  <a:schemeClr val="accent2">
                    <a:hueOff val="-39879"/>
                    <a:satOff val="52282"/>
                    <a:lumOff val="29251"/>
                  </a:schemeClr>
                </a:gs>
              </a:gsLst>
              <a:lin ang="16200000" scaled="0"/>
            </a:gradFill>
            <a:ln w="12700" cap="flat">
              <a:noFill/>
              <a:miter lim="400000"/>
            </a:ln>
            <a:effectLst>
              <a:outerShdw sx="100000" sy="100000" kx="0" ky="0" algn="tl" rotWithShape="1" blurRad="38100" dist="23000" dir="5400000">
                <a:srgbClr val="000000">
                  <a:alpha val="35000"/>
                </a:srgbClr>
              </a:outerShdw>
            </a:effectLst>
          </c:spPr>
          <c:invertIfNegative val="0"/>
          <c:dLbls>
            <c:numFmt formatCode="General" sourceLinked="1"/>
            <c:txPr>
              <a:bodyPr/>
              <a:lstStyle/>
              <a:p>
                <a:pPr>
                  <a:defRPr b="0" i="0" strike="noStrike" sz="1000" u="none">
                    <a:solidFill>
                      <a:srgbClr val="000000"/>
                    </a:solidFill>
                    <a:latin typeface="Calibri"/>
                  </a:defRPr>
                </a:pPr>
              </a:p>
            </c:txPr>
            <c:dLblPos val="outEnd"/>
            <c:showLegendKey val="0"/>
            <c:showVal val="1"/>
            <c:showCatName val="0"/>
            <c:showSerName val="0"/>
            <c:showPercent val="0"/>
            <c:showBubbleSize val="0"/>
            <c:showLeaderLines val="0"/>
          </c:dLbls>
          <c:cat>
            <c:strRef>
              <c:f>'2015'!$B$35:$M$35</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'2015'!$B$37:$M$37</c:f>
              <c:numCache>
                <c:ptCount val="11"/>
                <c:pt idx="1">
                  <c:v>156.000000</c:v>
                </c:pt>
                <c:pt idx="2">
                  <c:v>182.000000</c:v>
                </c:pt>
                <c:pt idx="3">
                  <c:v>174.000000</c:v>
                </c:pt>
                <c:pt idx="4">
                  <c:v>222.000000</c:v>
                </c:pt>
                <c:pt idx="5">
                  <c:v>204.000000</c:v>
                </c:pt>
                <c:pt idx="6">
                  <c:v>203.000000</c:v>
                </c:pt>
                <c:pt idx="7">
                  <c:v>239.000000</c:v>
                </c:pt>
                <c:pt idx="8">
                  <c:v>242.000000</c:v>
                </c:pt>
                <c:pt idx="9">
                  <c:v>132.000000</c:v>
                </c:pt>
                <c:pt idx="10">
                  <c:v>112.000000</c:v>
                </c:pt>
                <c:pt idx="11">
                  <c:v>112.000000</c:v>
                </c:pt>
              </c:numCache>
            </c:numRef>
          </c:val>
        </c:ser>
        <c:ser>
          <c:idx val="2"/>
          <c:order val="2"/>
          <c:tx>
            <c:strRef>
              <c:f>'2015'!$A$38</c:f>
              <c:strCache>
                <c:ptCount val="1"/>
                <c:pt idx="0">
                  <c:v>HOMBRES</c:v>
                </c:pt>
              </c:strCache>
            </c:strRef>
          </c:tx>
          <c:spPr>
            <a:gradFill flip="none" rotWithShape="1">
              <a:gsLst>
                <a:gs pos="0">
                  <a:srgbClr val="A0CA4A"/>
                </a:gs>
                <a:gs pos="100000">
                  <a:srgbClr val="DAFFA3"/>
                </a:gs>
              </a:gsLst>
              <a:lin ang="16200000" scaled="0"/>
            </a:gradFill>
            <a:ln w="12700" cap="flat">
              <a:noFill/>
              <a:miter lim="400000"/>
            </a:ln>
            <a:effectLst>
              <a:outerShdw sx="100000" sy="100000" kx="0" ky="0" algn="tl" rotWithShape="1" blurRad="38100" dist="23000" dir="5400000">
                <a:srgbClr val="000000">
                  <a:alpha val="35000"/>
                </a:srgbClr>
              </a:outerShdw>
            </a:effectLst>
          </c:spPr>
          <c:invertIfNegative val="0"/>
          <c:dLbls>
            <c:numFmt formatCode="General" sourceLinked="1"/>
            <c:txPr>
              <a:bodyPr/>
              <a:lstStyle/>
              <a:p>
                <a:pPr>
                  <a:defRPr b="0" i="0" strike="noStrike" sz="1000" u="none">
                    <a:solidFill>
                      <a:srgbClr val="000000"/>
                    </a:solidFill>
                    <a:latin typeface="Calibri"/>
                  </a:defRPr>
                </a:pPr>
              </a:p>
            </c:txPr>
            <c:dLblPos val="outEnd"/>
            <c:showLegendKey val="0"/>
            <c:showVal val="1"/>
            <c:showCatName val="0"/>
            <c:showSerName val="0"/>
            <c:showPercent val="0"/>
            <c:showBubbleSize val="0"/>
            <c:showLeaderLines val="0"/>
          </c:dLbls>
          <c:cat>
            <c:strRef>
              <c:f>'2015'!$B$35:$M$35</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'2015'!$B$38:$M$38</c:f>
              <c:numCache>
                <c:ptCount val="10"/>
                <c:pt idx="2">
                  <c:v>120.000000</c:v>
                </c:pt>
                <c:pt idx="3">
                  <c:v>94.000000</c:v>
                </c:pt>
                <c:pt idx="4">
                  <c:v>94.000000</c:v>
                </c:pt>
                <c:pt idx="5">
                  <c:v>94.000000</c:v>
                </c:pt>
                <c:pt idx="6">
                  <c:v>94.000000</c:v>
                </c:pt>
                <c:pt idx="7">
                  <c:v>110.000000</c:v>
                </c:pt>
                <c:pt idx="8">
                  <c:v>100.000000</c:v>
                </c:pt>
                <c:pt idx="9">
                  <c:v>32.000000</c:v>
                </c:pt>
                <c:pt idx="10">
                  <c:v>100.000000</c:v>
                </c:pt>
                <c:pt idx="11">
                  <c:v>100.000000</c:v>
                </c:pt>
              </c:numCache>
            </c:numRef>
          </c:val>
        </c:ser>
        <c:ser>
          <c:idx val="3"/>
          <c:order val="3"/>
          <c:tx>
            <c:strRef>
              <c:f>'2015'!$A$39</c:f>
              <c:strCache>
                <c:ptCount val="1"/>
                <c:pt idx="0">
                  <c:v>MUJER INTEGRAL</c:v>
                </c:pt>
              </c:strCache>
            </c:strRef>
          </c:tx>
          <c:spPr>
            <a:gradFill flip="none" rotWithShape="1">
              <a:gsLst>
                <a:gs pos="0">
                  <a:srgbClr val="7F5BAB"/>
                </a:gs>
                <a:gs pos="100000">
                  <a:srgbClr val="C7AEED"/>
                </a:gs>
              </a:gsLst>
              <a:lin ang="16200000" scaled="0"/>
            </a:gradFill>
            <a:ln w="12700" cap="flat">
              <a:noFill/>
              <a:miter lim="400000"/>
            </a:ln>
            <a:effectLst>
              <a:outerShdw sx="100000" sy="100000" kx="0" ky="0" algn="tl" rotWithShape="1" blurRad="38100" dist="23000" dir="5400000">
                <a:srgbClr val="000000">
                  <a:alpha val="35000"/>
                </a:srgbClr>
              </a:outerShdw>
            </a:effectLst>
          </c:spPr>
          <c:invertIfNegative val="0"/>
          <c:dLbls>
            <c:numFmt formatCode="General" sourceLinked="1"/>
            <c:txPr>
              <a:bodyPr/>
              <a:lstStyle/>
              <a:p>
                <a:pPr>
                  <a:defRPr b="0" i="0" strike="noStrike" sz="1000" u="none">
                    <a:solidFill>
                      <a:srgbClr val="000000"/>
                    </a:solidFill>
                    <a:latin typeface="Calibri"/>
                  </a:defRPr>
                </a:pPr>
              </a:p>
            </c:txPr>
            <c:dLblPos val="outEnd"/>
            <c:showLegendKey val="0"/>
            <c:showVal val="1"/>
            <c:showCatName val="0"/>
            <c:showSerName val="0"/>
            <c:showPercent val="0"/>
            <c:showBubbleSize val="0"/>
            <c:showLeaderLines val="0"/>
          </c:dLbls>
          <c:cat>
            <c:strRef>
              <c:f>'2015'!$B$35:$M$35</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'2015'!$B$39:$M$39</c:f>
              <c:numCache>
                <c:ptCount val="5"/>
                <c:pt idx="1">
                  <c:v>80.000000</c:v>
                </c:pt>
                <c:pt idx="2">
                  <c:v>90.000000</c:v>
                </c:pt>
                <c:pt idx="3">
                  <c:v>90.000000</c:v>
                </c:pt>
                <c:pt idx="4">
                  <c:v>120.000000</c:v>
                </c:pt>
                <c:pt idx="7">
                  <c:v>110.000000</c:v>
                </c:pt>
              </c:numCache>
            </c:numRef>
          </c:val>
        </c:ser>
        <c:ser>
          <c:idx val="4"/>
          <c:order val="4"/>
          <c:tx>
            <c:strRef>
              <c:f>'2015'!$A$40</c:f>
              <c:strCache>
                <c:ptCount val="1"/>
                <c:pt idx="0">
                  <c:v>NUEVA JUVENTUD</c:v>
                </c:pt>
              </c:strCache>
            </c:strRef>
          </c:tx>
          <c:spPr>
            <a:gradFill flip="none" rotWithShape="1">
              <a:gsLst>
                <a:gs pos="0">
                  <a:srgbClr val="39B7D8"/>
                </a:gs>
                <a:gs pos="100000">
                  <a:schemeClr val="accent5">
                    <a:hueOff val="249502"/>
                    <a:satOff val="48101"/>
                    <a:lumOff val="28891"/>
                  </a:schemeClr>
                </a:gs>
              </a:gsLst>
              <a:lin ang="16200000" scaled="0"/>
            </a:gradFill>
            <a:ln w="12700" cap="flat">
              <a:noFill/>
              <a:miter lim="400000"/>
            </a:ln>
            <a:effectLst>
              <a:outerShdw sx="100000" sy="100000" kx="0" ky="0" algn="tl" rotWithShape="1" blurRad="38100" dist="23000" dir="5400000">
                <a:srgbClr val="000000">
                  <a:alpha val="35000"/>
                </a:srgbClr>
              </a:outerShdw>
            </a:effectLst>
          </c:spPr>
          <c:invertIfNegative val="0"/>
          <c:dLbls>
            <c:numFmt formatCode="General" sourceLinked="1"/>
            <c:txPr>
              <a:bodyPr/>
              <a:lstStyle/>
              <a:p>
                <a:pPr>
                  <a:defRPr b="0" i="0" strike="noStrike" sz="1000" u="none">
                    <a:solidFill>
                      <a:srgbClr val="000000"/>
                    </a:solidFill>
                    <a:latin typeface="Calibri"/>
                  </a:defRPr>
                </a:pPr>
              </a:p>
            </c:txPr>
            <c:dLblPos val="outEnd"/>
            <c:showLegendKey val="0"/>
            <c:showVal val="1"/>
            <c:showCatName val="0"/>
            <c:showSerName val="0"/>
            <c:showPercent val="0"/>
            <c:showBubbleSize val="0"/>
            <c:showLeaderLines val="0"/>
          </c:dLbls>
          <c:cat>
            <c:strRef>
              <c:f>'2015'!$B$35:$M$35</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'2015'!$B$40:$M$40</c:f>
              <c:numCache>
                <c:ptCount val="4"/>
                <c:pt idx="8">
                  <c:v>15.000000</c:v>
                </c:pt>
                <c:pt idx="9">
                  <c:v>25.000000</c:v>
                </c:pt>
                <c:pt idx="10">
                  <c:v>25.000000</c:v>
                </c:pt>
                <c:pt idx="11">
                  <c:v>25.000000</c:v>
                </c:pt>
              </c:numCache>
            </c:numRef>
          </c:val>
        </c:ser>
        <c:ser>
          <c:idx val="5"/>
          <c:order val="5"/>
          <c:tx>
            <c:strRef>
              <c:f>'2015'!$A$41</c:f>
              <c:strCache>
                <c:ptCount val="1"/>
                <c:pt idx="0">
                  <c:v>ROCA KIDS</c:v>
                </c:pt>
              </c:strCache>
            </c:strRef>
          </c:tx>
          <c:spPr>
            <a:gradFill flip="none" rotWithShape="1">
              <a:gsLst>
                <a:gs pos="0">
                  <a:srgbClr val="FF953E"/>
                </a:gs>
                <a:gs pos="100000">
                  <a:schemeClr val="accent6">
                    <a:hueOff val="-456778"/>
                    <a:satOff val="8290"/>
                    <a:lumOff val="24503"/>
                  </a:schemeClr>
                </a:gs>
              </a:gsLst>
              <a:lin ang="16200000" scaled="0"/>
            </a:gradFill>
            <a:ln w="12700" cap="flat">
              <a:noFill/>
              <a:miter lim="400000"/>
            </a:ln>
            <a:effectLst>
              <a:outerShdw sx="100000" sy="100000" kx="0" ky="0" algn="tl" rotWithShape="1" blurRad="38100" dist="23000" dir="5400000">
                <a:srgbClr val="000000">
                  <a:alpha val="35000"/>
                </a:srgbClr>
              </a:outerShdw>
            </a:effectLst>
          </c:spPr>
          <c:invertIfNegative val="0"/>
          <c:dLbls>
            <c:numFmt formatCode="General" sourceLinked="1"/>
            <c:txPr>
              <a:bodyPr/>
              <a:lstStyle/>
              <a:p>
                <a:pPr>
                  <a:defRPr b="0" i="0" strike="noStrike" sz="1000" u="none">
                    <a:solidFill>
                      <a:srgbClr val="000000"/>
                    </a:solidFill>
                    <a:latin typeface="Calibri"/>
                  </a:defRPr>
                </a:pPr>
              </a:p>
            </c:txPr>
            <c:dLblPos val="outEnd"/>
            <c:showLegendKey val="0"/>
            <c:showVal val="1"/>
            <c:showCatName val="0"/>
            <c:showSerName val="0"/>
            <c:showPercent val="0"/>
            <c:showBubbleSize val="0"/>
            <c:showLeaderLines val="0"/>
          </c:dLbls>
          <c:cat>
            <c:strRef>
              <c:f>'2015'!$B$35:$M$35</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'2015'!$B$41:$M$41</c:f>
              <c:numCache>
                <c:ptCount val="12"/>
                <c:pt idx="0">
                  <c:v>82.000000</c:v>
                </c:pt>
                <c:pt idx="1">
                  <c:v>155.000000</c:v>
                </c:pt>
                <c:pt idx="2">
                  <c:v>156.000000</c:v>
                </c:pt>
                <c:pt idx="3">
                  <c:v>139.000000</c:v>
                </c:pt>
                <c:pt idx="4">
                  <c:v>162.000000</c:v>
                </c:pt>
                <c:pt idx="5">
                  <c:v>170.000000</c:v>
                </c:pt>
                <c:pt idx="6">
                  <c:v>174.000000</c:v>
                </c:pt>
                <c:pt idx="7">
                  <c:v>166.000000</c:v>
                </c:pt>
                <c:pt idx="8">
                  <c:v>187.000000</c:v>
                </c:pt>
                <c:pt idx="9">
                  <c:v>188.000000</c:v>
                </c:pt>
                <c:pt idx="10">
                  <c:v>182.000000</c:v>
                </c:pt>
                <c:pt idx="11">
                  <c:v>159.000000</c:v>
                </c:pt>
              </c:numCache>
            </c:numRef>
          </c:val>
        </c:ser>
        <c:gapWidth val="150"/>
        <c:overlap val="0"/>
        <c:axId val="2094734552"/>
        <c:axId val="2094734553"/>
      </c:barChart>
      <c:catAx>
        <c:axId val="2094734552"/>
        <c:scaling>
          <c:orientation val="minMax"/>
        </c:scaling>
        <c:delete val="0"/>
        <c:axPos val="b"/>
        <c:numFmt formatCode="General" sourceLinked="1"/>
        <c:majorTickMark val="out"/>
        <c:minorTickMark val="none"/>
        <c:tickLblPos val="low"/>
        <c:spPr>
          <a:ln w="12700" cap="flat">
            <a:solidFill>
              <a:srgbClr val="888888"/>
            </a:solidFill>
            <a:prstDash val="solid"/>
            <a:round/>
          </a:ln>
        </c:spPr>
        <c:txPr>
          <a:bodyPr rot="0"/>
          <a:lstStyle/>
          <a:p>
            <a:pPr>
              <a:defRPr b="0" i="0" strike="noStrike" sz="1000" u="none">
                <a:solidFill>
                  <a:srgbClr val="000000"/>
                </a:solidFill>
                <a:latin typeface="Calibri"/>
              </a:defRPr>
            </a:pPr>
          </a:p>
        </c:txPr>
        <c:crossAx val="2094734553"/>
        <c:crosses val="autoZero"/>
        <c:auto val="1"/>
        <c:lblAlgn val="ctr"/>
        <c:noMultiLvlLbl val="1"/>
      </c:catAx>
      <c:valAx>
        <c:axId val="2094734553"/>
        <c:scaling>
          <c:orientation val="minMax"/>
        </c:scaling>
        <c:delete val="0"/>
        <c:axPos val="l"/>
        <c:majorGridlines>
          <c:spPr>
            <a:ln w="12700" cap="flat">
              <a:solidFill>
                <a:srgbClr val="888888"/>
              </a:solidFill>
              <a:prstDash val="solid"/>
              <a:round/>
            </a:ln>
          </c:spPr>
        </c:majorGridlines>
        <c:numFmt formatCode="General" sourceLinked="1"/>
        <c:majorTickMark val="out"/>
        <c:minorTickMark val="none"/>
        <c:tickLblPos val="nextTo"/>
        <c:spPr>
          <a:ln w="12700" cap="flat">
            <a:solidFill>
              <a:srgbClr val="888888"/>
            </a:solidFill>
            <a:prstDash val="solid"/>
            <a:round/>
          </a:ln>
        </c:spPr>
        <c:txPr>
          <a:bodyPr rot="0"/>
          <a:lstStyle/>
          <a:p>
            <a:pPr>
              <a:defRPr b="0" i="0" strike="noStrike" sz="1000" u="none">
                <a:solidFill>
                  <a:srgbClr val="000000"/>
                </a:solidFill>
                <a:latin typeface="Calibri"/>
              </a:defRPr>
            </a:pPr>
          </a:p>
        </c:txPr>
        <c:crossAx val="2094734552"/>
        <c:crosses val="autoZero"/>
        <c:crossBetween val="between"/>
        <c:majorUnit val="75"/>
        <c:minorUnit val="37.5"/>
      </c:valAx>
      <c:spPr>
        <a:solidFill>
          <a:srgbClr val="FFFFFF"/>
        </a:solidFill>
        <a:ln w="12700" cap="flat">
          <a:noFill/>
          <a:miter lim="400000"/>
        </a:ln>
        <a:effectLst/>
      </c:spPr>
    </c:plotArea>
    <c:legend>
      <c:legendPos val="r"/>
      <c:layout>
        <c:manualLayout>
          <c:xMode val="edge"/>
          <c:yMode val="edge"/>
          <c:x val="0.771937"/>
          <c:y val="0.389282"/>
          <c:w val="0.228063"/>
          <c:h val="0.386217"/>
        </c:manualLayout>
      </c:layout>
      <c:overlay val="1"/>
      <c:spPr>
        <a:noFill/>
        <a:ln w="12700" cap="flat">
          <a:noFill/>
          <a:miter lim="400000"/>
        </a:ln>
        <a:effectLst/>
      </c:spPr>
      <c:txPr>
        <a:bodyPr rot="0"/>
        <a:lstStyle/>
        <a:p>
          <a:pPr>
            <a:defRPr b="0" i="0" strike="noStrike" sz="1000" u="none">
              <a:solidFill>
                <a:srgbClr val="000000"/>
              </a:solidFill>
              <a:latin typeface="Calibri"/>
            </a:defRPr>
          </a:pPr>
        </a:p>
      </c:txPr>
    </c:legend>
    <c:plotVisOnly val="1"/>
    <c:dispBlanksAs val="gap"/>
  </c:chart>
  <c:spPr>
    <a:solidFill>
      <a:srgbClr val="FFFFFF"/>
    </a:solidFill>
    <a:ln w="12700" cap="flat">
      <a:solidFill>
        <a:srgbClr val="888888"/>
      </a:solidFill>
      <a:prstDash val="solid"/>
      <a:round/>
    </a:ln>
    <a:effectLst/>
  </c:spPr>
</c:chartSpace>
</file>

<file path=xl/charts/chart4.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1" i="0" strike="noStrike" sz="1800" u="none">
                <a:solidFill>
                  <a:srgbClr val="000000"/>
                </a:solidFill>
                <a:latin typeface="Calibri"/>
              </a:defRPr>
            </a:pPr>
            <a:r>
              <a:rPr b="1" i="0" strike="noStrike" sz="1800" u="none">
                <a:solidFill>
                  <a:srgbClr val="000000"/>
                </a:solidFill>
                <a:latin typeface="Calibri"/>
              </a:rPr>
              <a:t>PART. M. CONGREGACIONALES</a:t>
            </a:r>
          </a:p>
        </c:rich>
      </c:tx>
      <c:layout>
        <c:manualLayout>
          <c:xMode val="edge"/>
          <c:yMode val="edge"/>
          <c:x val="0.100861"/>
          <c:y val="0"/>
          <c:w val="0.457943"/>
          <c:h val="0.157082"/>
        </c:manualLayout>
      </c:layout>
      <c:overlay val="1"/>
      <c:spPr>
        <a:noFill/>
        <a:effectLst/>
      </c:spPr>
    </c:title>
    <c:autoTitleDeleted val="1"/>
    <c:plotArea>
      <c:layout>
        <c:manualLayout>
          <c:layoutTarget val="inner"/>
          <c:xMode val="edge"/>
          <c:yMode val="edge"/>
          <c:x val="0.0773782"/>
          <c:y val="0.157082"/>
          <c:w val="0.579421"/>
          <c:h val="0.743014"/>
        </c:manualLayout>
      </c:layout>
      <c:barChart>
        <c:barDir val="col"/>
        <c:grouping val="clustered"/>
        <c:varyColors val="0"/>
        <c:ser>
          <c:idx val="0"/>
          <c:order val="0"/>
          <c:tx>
            <c:strRef>
              <c:f>'2015'!$A$45</c:f>
              <c:strCache>
                <c:ptCount val="1"/>
                <c:pt idx="0">
                  <c:v>PART. M. CONGREGACIONALES</c:v>
                </c:pt>
              </c:strCache>
            </c:strRef>
          </c:tx>
          <c:spPr>
            <a:gradFill flip="none" rotWithShape="1">
              <a:gsLst>
                <a:gs pos="0">
                  <a:srgbClr val="3F80CE"/>
                </a:gs>
                <a:gs pos="100000">
                  <a:schemeClr val="accent1">
                    <a:hueOff val="357503"/>
                    <a:satOff val="54545"/>
                    <a:lumOff val="29273"/>
                  </a:schemeClr>
                </a:gs>
              </a:gsLst>
              <a:lin ang="16200000" scaled="0"/>
            </a:gradFill>
            <a:ln w="12700" cap="flat">
              <a:noFill/>
              <a:miter lim="400000"/>
            </a:ln>
            <a:effectLst>
              <a:outerShdw sx="100000" sy="100000" kx="0" ky="0" algn="tl" rotWithShape="1" blurRad="38100" dist="23000" dir="5400000">
                <a:srgbClr val="000000">
                  <a:alpha val="35000"/>
                </a:srgbClr>
              </a:outerShdw>
            </a:effectLst>
          </c:spPr>
          <c:invertIfNegative val="0"/>
          <c:dLbls>
            <c:numFmt formatCode="General" sourceLinked="1"/>
            <c:txPr>
              <a:bodyPr/>
              <a:lstStyle/>
              <a:p>
                <a:pPr>
                  <a:defRPr b="0" i="0" strike="noStrike" sz="1000" u="none">
                    <a:solidFill>
                      <a:srgbClr val="000000"/>
                    </a:solidFill>
                    <a:latin typeface="Calibri"/>
                  </a:defRPr>
                </a:pPr>
              </a:p>
            </c:txPr>
            <c:dLblPos val="outEnd"/>
            <c:showLegendKey val="0"/>
            <c:showVal val="1"/>
            <c:showCatName val="0"/>
            <c:showSerName val="0"/>
            <c:showPercent val="0"/>
            <c:showBubbleSize val="0"/>
            <c:showLeaderLines val="0"/>
          </c:dLbls>
          <c:cat>
            <c:strLit>
              <c:ptCount val="13"/>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
              </c:pt>
            </c:strLit>
          </c:cat>
          <c:val>
            <c:numRef>
              <c:f>'2015'!$A$45:$M$45</c:f>
              <c:numCache>
                <c:ptCount val="12"/>
                <c:pt idx="1">
                  <c:v>0.293051</c:v>
                </c:pt>
                <c:pt idx="2">
                  <c:v>0.547434</c:v>
                </c:pt>
                <c:pt idx="3">
                  <c:v>0.631887</c:v>
                </c:pt>
                <c:pt idx="4">
                  <c:v>0.586777</c:v>
                </c:pt>
                <c:pt idx="5">
                  <c:v>0.660839</c:v>
                </c:pt>
                <c:pt idx="6">
                  <c:v>0.472928</c:v>
                </c:pt>
                <c:pt idx="7">
                  <c:v>0.449187</c:v>
                </c:pt>
                <c:pt idx="8">
                  <c:v>0.627255</c:v>
                </c:pt>
                <c:pt idx="9">
                  <c:v>0.562020</c:v>
                </c:pt>
                <c:pt idx="10">
                  <c:v>0.343361</c:v>
                </c:pt>
                <c:pt idx="11">
                  <c:v>0.451860</c:v>
                </c:pt>
                <c:pt idx="12">
                  <c:v>0.526786</c:v>
                </c:pt>
              </c:numCache>
            </c:numRef>
          </c:val>
        </c:ser>
        <c:gapWidth val="150"/>
        <c:overlap val="0"/>
        <c:axId val="2094734552"/>
        <c:axId val="2094734553"/>
      </c:barChart>
      <c:catAx>
        <c:axId val="2094734552"/>
        <c:scaling>
          <c:orientation val="minMax"/>
        </c:scaling>
        <c:delete val="0"/>
        <c:axPos val="b"/>
        <c:numFmt formatCode="General" sourceLinked="1"/>
        <c:majorTickMark val="out"/>
        <c:minorTickMark val="none"/>
        <c:tickLblPos val="low"/>
        <c:spPr>
          <a:ln w="12700" cap="flat">
            <a:solidFill>
              <a:srgbClr val="888888"/>
            </a:solidFill>
            <a:prstDash val="solid"/>
            <a:round/>
          </a:ln>
        </c:spPr>
        <c:txPr>
          <a:bodyPr rot="0"/>
          <a:lstStyle/>
          <a:p>
            <a:pPr>
              <a:defRPr b="0" i="0" strike="noStrike" sz="1000" u="none">
                <a:solidFill>
                  <a:srgbClr val="000000"/>
                </a:solidFill>
                <a:latin typeface="Calibri"/>
              </a:defRPr>
            </a:pPr>
          </a:p>
        </c:txPr>
        <c:crossAx val="2094734553"/>
        <c:crosses val="autoZero"/>
        <c:auto val="1"/>
        <c:lblAlgn val="ctr"/>
        <c:noMultiLvlLbl val="1"/>
      </c:catAx>
      <c:valAx>
        <c:axId val="2094734553"/>
        <c:scaling>
          <c:orientation val="minMax"/>
        </c:scaling>
        <c:delete val="0"/>
        <c:axPos val="l"/>
        <c:majorGridlines>
          <c:spPr>
            <a:ln w="12700" cap="flat">
              <a:solidFill>
                <a:srgbClr val="888888"/>
              </a:solidFill>
              <a:prstDash val="solid"/>
              <a:round/>
            </a:ln>
          </c:spPr>
        </c:majorGridlines>
        <c:numFmt formatCode="General" sourceLinked="1"/>
        <c:majorTickMark val="out"/>
        <c:minorTickMark val="none"/>
        <c:tickLblPos val="nextTo"/>
        <c:spPr>
          <a:ln w="12700" cap="flat">
            <a:solidFill>
              <a:srgbClr val="888888"/>
            </a:solidFill>
            <a:prstDash val="solid"/>
            <a:round/>
          </a:ln>
        </c:spPr>
        <c:txPr>
          <a:bodyPr rot="0"/>
          <a:lstStyle/>
          <a:p>
            <a:pPr>
              <a:defRPr b="0" i="0" strike="noStrike" sz="1000" u="none">
                <a:solidFill>
                  <a:srgbClr val="000000"/>
                </a:solidFill>
                <a:latin typeface="Calibri"/>
              </a:defRPr>
            </a:pPr>
          </a:p>
        </c:txPr>
        <c:crossAx val="2094734552"/>
        <c:crosses val="autoZero"/>
        <c:crossBetween val="between"/>
        <c:majorUnit val="0.175"/>
        <c:minorUnit val="0.0875"/>
      </c:valAx>
      <c:spPr>
        <a:solidFill>
          <a:srgbClr val="FFFFFF"/>
        </a:solidFill>
        <a:ln w="12700" cap="flat">
          <a:noFill/>
          <a:miter lim="400000"/>
        </a:ln>
        <a:effectLst/>
      </c:spPr>
    </c:plotArea>
    <c:legend>
      <c:legendPos val="r"/>
      <c:layout>
        <c:manualLayout>
          <c:xMode val="edge"/>
          <c:yMode val="edge"/>
          <c:x val="0.688166"/>
          <c:y val="0.451594"/>
          <c:w val="0.311834"/>
          <c:h val="0.0789969"/>
        </c:manualLayout>
      </c:layout>
      <c:overlay val="1"/>
      <c:spPr>
        <a:noFill/>
        <a:ln w="12700" cap="flat">
          <a:noFill/>
          <a:miter lim="400000"/>
        </a:ln>
        <a:effectLst/>
      </c:spPr>
      <c:txPr>
        <a:bodyPr rot="0"/>
        <a:lstStyle/>
        <a:p>
          <a:pPr>
            <a:defRPr b="0" i="0" strike="noStrike" sz="1000" u="none">
              <a:solidFill>
                <a:srgbClr val="000000"/>
              </a:solidFill>
              <a:latin typeface="Calibri"/>
            </a:defRPr>
          </a:pPr>
        </a:p>
      </c:txPr>
    </c:legend>
    <c:plotVisOnly val="1"/>
    <c:dispBlanksAs val="gap"/>
  </c:chart>
  <c:spPr>
    <a:solidFill>
      <a:srgbClr val="FFFFFF"/>
    </a:solidFill>
    <a:ln w="12700" cap="flat">
      <a:solidFill>
        <a:srgbClr val="888888"/>
      </a:solidFill>
      <a:prstDash val="solid"/>
      <a:round/>
    </a:ln>
    <a:effectLst/>
  </c:spPr>
</c:chartSpace>
</file>

<file path=xl/charts/chart5.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738975"/>
          <c:y val="0.0602029"/>
          <c:w val="0.61014"/>
          <c:h val="0.829847"/>
        </c:manualLayout>
      </c:layout>
      <c:barChart>
        <c:barDir val="col"/>
        <c:grouping val="clustered"/>
        <c:varyColors val="0"/>
        <c:ser>
          <c:idx val="0"/>
          <c:order val="0"/>
          <c:tx>
            <c:strRef>
              <c:f>'2015'!$A$22</c:f>
              <c:strCache>
                <c:ptCount val="1"/>
                <c:pt idx="0">
                  <c:v>ASISTENTES DOMINGO (*)</c:v>
                </c:pt>
              </c:strCache>
            </c:strRef>
          </c:tx>
          <c:spPr>
            <a:gradFill flip="none" rotWithShape="1">
              <a:gsLst>
                <a:gs pos="0">
                  <a:srgbClr val="3F80CE"/>
                </a:gs>
                <a:gs pos="100000">
                  <a:schemeClr val="accent1">
                    <a:hueOff val="357503"/>
                    <a:satOff val="54545"/>
                    <a:lumOff val="29273"/>
                  </a:schemeClr>
                </a:gs>
              </a:gsLst>
              <a:lin ang="16200000" scaled="0"/>
            </a:gradFill>
            <a:ln w="12700" cap="flat">
              <a:noFill/>
              <a:miter lim="400000"/>
            </a:ln>
            <a:effectLst>
              <a:outerShdw sx="100000" sy="100000" kx="0" ky="0" algn="tl" rotWithShape="1" blurRad="38100" dist="23000" dir="5400000">
                <a:srgbClr val="000000">
                  <a:alpha val="35000"/>
                </a:srgbClr>
              </a:outerShdw>
            </a:effectLst>
          </c:spPr>
          <c:invertIfNegative val="0"/>
          <c:dLbls>
            <c:numFmt formatCode="General" sourceLinked="1"/>
            <c:txPr>
              <a:bodyPr/>
              <a:lstStyle/>
              <a:p>
                <a:pPr>
                  <a:defRPr b="0" i="0" strike="noStrike" sz="1000" u="none">
                    <a:solidFill>
                      <a:srgbClr val="000000"/>
                    </a:solidFill>
                    <a:latin typeface="Calibri"/>
                  </a:defRPr>
                </a:pPr>
              </a:p>
            </c:txPr>
            <c:dLblPos val="outEnd"/>
            <c:showLegendKey val="0"/>
            <c:showVal val="1"/>
            <c:showCatName val="0"/>
            <c:showSerName val="0"/>
            <c:showPercent val="0"/>
            <c:showBubbleSize val="0"/>
            <c:showLeaderLines val="0"/>
          </c:dLbls>
          <c:cat>
            <c:strRef>
              <c:f>'2015'!$B$21:$M$21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'2015'!$B$22:$M$22</c:f>
              <c:numCache>
                <c:ptCount val="12"/>
                <c:pt idx="0">
                  <c:v>331.000000</c:v>
                </c:pt>
                <c:pt idx="1">
                  <c:v>643.000000</c:v>
                </c:pt>
                <c:pt idx="2">
                  <c:v>853.000000</c:v>
                </c:pt>
                <c:pt idx="3">
                  <c:v>847.000000</c:v>
                </c:pt>
                <c:pt idx="4">
                  <c:v>858.000000</c:v>
                </c:pt>
                <c:pt idx="5">
                  <c:v>905.000000</c:v>
                </c:pt>
                <c:pt idx="6">
                  <c:v>984.000000</c:v>
                </c:pt>
                <c:pt idx="7">
                  <c:v>998.000000</c:v>
                </c:pt>
                <c:pt idx="8">
                  <c:v>911.000000</c:v>
                </c:pt>
                <c:pt idx="9">
                  <c:v>964.000000</c:v>
                </c:pt>
                <c:pt idx="10">
                  <c:v>914.000000</c:v>
                </c:pt>
                <c:pt idx="11">
                  <c:v>784.000000</c:v>
                </c:pt>
              </c:numCache>
            </c:numRef>
          </c:val>
        </c:ser>
        <c:ser>
          <c:idx val="1"/>
          <c:order val="1"/>
          <c:tx>
            <c:strRef>
              <c:f>'2015'!$A$23</c:f>
              <c:strCache>
                <c:ptCount val="1"/>
                <c:pt idx="0">
                  <c:v>ASISTENTES MIERCOLES</c:v>
                </c:pt>
              </c:strCache>
            </c:strRef>
          </c:tx>
          <c:spPr>
            <a:gradFill flip="none" rotWithShape="1">
              <a:gsLst>
                <a:gs pos="0">
                  <a:srgbClr val="D1403C"/>
                </a:gs>
                <a:gs pos="100000">
                  <a:schemeClr val="accent2">
                    <a:hueOff val="-39879"/>
                    <a:satOff val="52282"/>
                    <a:lumOff val="29251"/>
                  </a:schemeClr>
                </a:gs>
              </a:gsLst>
              <a:lin ang="16200000" scaled="0"/>
            </a:gradFill>
            <a:ln w="12700" cap="flat">
              <a:noFill/>
              <a:miter lim="400000"/>
            </a:ln>
            <a:effectLst>
              <a:outerShdw sx="100000" sy="100000" kx="0" ky="0" algn="tl" rotWithShape="1" blurRad="38100" dist="23000" dir="5400000">
                <a:srgbClr val="000000">
                  <a:alpha val="35000"/>
                </a:srgbClr>
              </a:outerShdw>
            </a:effectLst>
          </c:spPr>
          <c:invertIfNegative val="0"/>
          <c:dLbls>
            <c:numFmt formatCode="General" sourceLinked="1"/>
            <c:txPr>
              <a:bodyPr/>
              <a:lstStyle/>
              <a:p>
                <a:pPr>
                  <a:defRPr b="0" i="0" strike="noStrike" sz="1000" u="none">
                    <a:solidFill>
                      <a:srgbClr val="000000"/>
                    </a:solidFill>
                    <a:latin typeface="Calibri"/>
                  </a:defRPr>
                </a:pPr>
              </a:p>
            </c:txPr>
            <c:dLblPos val="outEnd"/>
            <c:showLegendKey val="0"/>
            <c:showVal val="1"/>
            <c:showCatName val="0"/>
            <c:showSerName val="0"/>
            <c:showPercent val="0"/>
            <c:showBubbleSize val="0"/>
            <c:showLeaderLines val="0"/>
          </c:dLbls>
          <c:cat>
            <c:strRef>
              <c:f>'2015'!$B$21:$M$21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'2015'!$B$23:$M$23</c:f>
              <c:numCache>
                <c:ptCount val="12"/>
                <c:pt idx="0">
                  <c:v>28.000000</c:v>
                </c:pt>
                <c:pt idx="1">
                  <c:v>81.000000</c:v>
                </c:pt>
                <c:pt idx="2">
                  <c:v>99.000000</c:v>
                </c:pt>
                <c:pt idx="3">
                  <c:v>104.000000</c:v>
                </c:pt>
                <c:pt idx="4">
                  <c:v>71.000000</c:v>
                </c:pt>
                <c:pt idx="5">
                  <c:v>90.000000</c:v>
                </c:pt>
                <c:pt idx="6">
                  <c:v>101.000000</c:v>
                </c:pt>
                <c:pt idx="7">
                  <c:v>85.000000</c:v>
                </c:pt>
                <c:pt idx="8">
                  <c:v>87.000000</c:v>
                </c:pt>
                <c:pt idx="9">
                  <c:v>84.000000</c:v>
                </c:pt>
                <c:pt idx="10">
                  <c:v>60.000000</c:v>
                </c:pt>
                <c:pt idx="11">
                  <c:v>78.000000</c:v>
                </c:pt>
              </c:numCache>
            </c:numRef>
          </c:val>
        </c:ser>
        <c:ser>
          <c:idx val="2"/>
          <c:order val="2"/>
          <c:tx>
            <c:strRef>
              <c:f>'2015'!$A$24</c:f>
              <c:strCache>
                <c:ptCount val="1"/>
                <c:pt idx="0">
                  <c:v>ASISTENTES AYUNO</c:v>
                </c:pt>
              </c:strCache>
            </c:strRef>
          </c:tx>
          <c:spPr>
            <a:gradFill flip="none" rotWithShape="1">
              <a:gsLst>
                <a:gs pos="0">
                  <a:srgbClr val="A0CA4A"/>
                </a:gs>
                <a:gs pos="100000">
                  <a:srgbClr val="DAFFA3"/>
                </a:gs>
              </a:gsLst>
              <a:lin ang="16200000" scaled="0"/>
            </a:gradFill>
            <a:ln w="12700" cap="flat">
              <a:noFill/>
              <a:miter lim="400000"/>
            </a:ln>
            <a:effectLst>
              <a:outerShdw sx="100000" sy="100000" kx="0" ky="0" algn="tl" rotWithShape="1" blurRad="38100" dist="23000" dir="5400000">
                <a:srgbClr val="000000">
                  <a:alpha val="35000"/>
                </a:srgbClr>
              </a:outerShdw>
            </a:effectLst>
          </c:spPr>
          <c:invertIfNegative val="0"/>
          <c:dLbls>
            <c:numFmt formatCode="General" sourceLinked="1"/>
            <c:txPr>
              <a:bodyPr/>
              <a:lstStyle/>
              <a:p>
                <a:pPr>
                  <a:defRPr b="0" i="0" strike="noStrike" sz="1000" u="none">
                    <a:solidFill>
                      <a:srgbClr val="000000"/>
                    </a:solidFill>
                    <a:latin typeface="Calibri"/>
                  </a:defRPr>
                </a:pPr>
              </a:p>
            </c:txPr>
            <c:dLblPos val="outEnd"/>
            <c:showLegendKey val="0"/>
            <c:showVal val="1"/>
            <c:showCatName val="0"/>
            <c:showSerName val="0"/>
            <c:showPercent val="0"/>
            <c:showBubbleSize val="0"/>
            <c:showLeaderLines val="0"/>
          </c:dLbls>
          <c:cat>
            <c:strRef>
              <c:f>'2015'!$B$21:$M$21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'2015'!$B$24:$M$24</c:f>
              <c:numCache>
                <c:ptCount val="2"/>
                <c:pt idx="2">
                  <c:v>172.000000</c:v>
                </c:pt>
                <c:pt idx="3">
                  <c:v>132.000000</c:v>
                </c:pt>
              </c:numCache>
            </c:numRef>
          </c:val>
        </c:ser>
        <c:ser>
          <c:idx val="3"/>
          <c:order val="3"/>
          <c:tx>
            <c:strRef>
              <c:f>'2015'!$A$25</c:f>
              <c:strCache>
                <c:ptCount val="1"/>
                <c:pt idx="0">
                  <c:v>SOBRES DIEZMOS</c:v>
                </c:pt>
              </c:strCache>
            </c:strRef>
          </c:tx>
          <c:spPr>
            <a:gradFill flip="none" rotWithShape="1">
              <a:gsLst>
                <a:gs pos="0">
                  <a:srgbClr val="7F5BAB"/>
                </a:gs>
                <a:gs pos="100000">
                  <a:srgbClr val="C7AEED"/>
                </a:gs>
              </a:gsLst>
              <a:lin ang="16200000" scaled="0"/>
            </a:gradFill>
            <a:ln w="12700" cap="flat">
              <a:noFill/>
              <a:miter lim="400000"/>
            </a:ln>
            <a:effectLst>
              <a:outerShdw sx="100000" sy="100000" kx="0" ky="0" algn="tl" rotWithShape="1" blurRad="38100" dist="23000" dir="5400000">
                <a:srgbClr val="000000">
                  <a:alpha val="35000"/>
                </a:srgbClr>
              </a:outerShdw>
            </a:effectLst>
          </c:spPr>
          <c:invertIfNegative val="0"/>
          <c:dLbls>
            <c:numFmt formatCode="General" sourceLinked="1"/>
            <c:txPr>
              <a:bodyPr/>
              <a:lstStyle/>
              <a:p>
                <a:pPr>
                  <a:defRPr b="0" i="0" strike="noStrike" sz="1000" u="none">
                    <a:solidFill>
                      <a:srgbClr val="000000"/>
                    </a:solidFill>
                    <a:latin typeface="Calibri"/>
                  </a:defRPr>
                </a:pPr>
              </a:p>
            </c:txPr>
            <c:dLblPos val="outEnd"/>
            <c:showLegendKey val="0"/>
            <c:showVal val="1"/>
            <c:showCatName val="0"/>
            <c:showSerName val="0"/>
            <c:showPercent val="0"/>
            <c:showBubbleSize val="0"/>
            <c:showLeaderLines val="0"/>
          </c:dLbls>
          <c:cat>
            <c:strRef>
              <c:f>'2015'!$B$21:$M$21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'2015'!$B$25:$M$25</c:f>
              <c:numCache>
                <c:ptCount val="12"/>
                <c:pt idx="0">
                  <c:v>281.000000</c:v>
                </c:pt>
                <c:pt idx="1">
                  <c:v>553.000000</c:v>
                </c:pt>
                <c:pt idx="2">
                  <c:v>953.000000</c:v>
                </c:pt>
                <c:pt idx="3">
                  <c:v>714.000000</c:v>
                </c:pt>
                <c:pt idx="4">
                  <c:v>734.000000</c:v>
                </c:pt>
                <c:pt idx="5">
                  <c:v>938.000000</c:v>
                </c:pt>
                <c:pt idx="6">
                  <c:v>684.000000</c:v>
                </c:pt>
                <c:pt idx="7">
                  <c:v>797.000000</c:v>
                </c:pt>
                <c:pt idx="8">
                  <c:v>998.000000</c:v>
                </c:pt>
                <c:pt idx="9">
                  <c:v>791.000000</c:v>
                </c:pt>
                <c:pt idx="10">
                  <c:v>808.000000</c:v>
                </c:pt>
                <c:pt idx="11">
                  <c:v>1036.000000</c:v>
                </c:pt>
              </c:numCache>
            </c:numRef>
          </c:val>
        </c:ser>
        <c:gapWidth val="150"/>
        <c:overlap val="0"/>
        <c:axId val="2094734552"/>
        <c:axId val="2094734553"/>
      </c:barChart>
      <c:catAx>
        <c:axId val="2094734552"/>
        <c:scaling>
          <c:orientation val="minMax"/>
        </c:scaling>
        <c:delete val="0"/>
        <c:axPos val="b"/>
        <c:numFmt formatCode="General" sourceLinked="1"/>
        <c:majorTickMark val="out"/>
        <c:minorTickMark val="none"/>
        <c:tickLblPos val="low"/>
        <c:spPr>
          <a:ln w="12700" cap="flat">
            <a:solidFill>
              <a:srgbClr val="888888"/>
            </a:solidFill>
            <a:prstDash val="solid"/>
            <a:round/>
          </a:ln>
        </c:spPr>
        <c:txPr>
          <a:bodyPr rot="0"/>
          <a:lstStyle/>
          <a:p>
            <a:pPr>
              <a:defRPr b="0" i="0" strike="noStrike" sz="1000" u="none">
                <a:solidFill>
                  <a:srgbClr val="000000"/>
                </a:solidFill>
                <a:latin typeface="Calibri"/>
              </a:defRPr>
            </a:pPr>
          </a:p>
        </c:txPr>
        <c:crossAx val="2094734553"/>
        <c:crosses val="autoZero"/>
        <c:auto val="1"/>
        <c:lblAlgn val="ctr"/>
        <c:noMultiLvlLbl val="1"/>
      </c:catAx>
      <c:valAx>
        <c:axId val="2094734553"/>
        <c:scaling>
          <c:orientation val="minMax"/>
        </c:scaling>
        <c:delete val="0"/>
        <c:axPos val="l"/>
        <c:majorGridlines>
          <c:spPr>
            <a:ln w="12700" cap="flat">
              <a:solidFill>
                <a:srgbClr val="888888"/>
              </a:solidFill>
              <a:prstDash val="solid"/>
              <a:round/>
            </a:ln>
          </c:spPr>
        </c:majorGridlines>
        <c:numFmt formatCode="General" sourceLinked="1"/>
        <c:majorTickMark val="out"/>
        <c:minorTickMark val="none"/>
        <c:tickLblPos val="nextTo"/>
        <c:spPr>
          <a:ln w="12700" cap="flat">
            <a:solidFill>
              <a:srgbClr val="888888"/>
            </a:solidFill>
            <a:prstDash val="solid"/>
            <a:round/>
          </a:ln>
        </c:spPr>
        <c:txPr>
          <a:bodyPr rot="0"/>
          <a:lstStyle/>
          <a:p>
            <a:pPr>
              <a:defRPr b="0" i="0" strike="noStrike" sz="1000" u="none">
                <a:solidFill>
                  <a:srgbClr val="000000"/>
                </a:solidFill>
                <a:latin typeface="Calibri"/>
              </a:defRPr>
            </a:pPr>
          </a:p>
        </c:txPr>
        <c:crossAx val="2094734552"/>
        <c:crosses val="autoZero"/>
        <c:crossBetween val="between"/>
        <c:majorUnit val="300"/>
        <c:minorUnit val="150"/>
      </c:valAx>
      <c:spPr>
        <a:solidFill>
          <a:srgbClr val="FFFFFF"/>
        </a:solidFill>
        <a:ln w="12700" cap="flat">
          <a:noFill/>
          <a:miter lim="400000"/>
        </a:ln>
        <a:effectLst/>
      </c:spPr>
    </c:plotArea>
    <c:legend>
      <c:legendPos val="r"/>
      <c:layout>
        <c:manualLayout>
          <c:xMode val="edge"/>
          <c:yMode val="edge"/>
          <c:x val="0.717067"/>
          <c:y val="0.389282"/>
          <c:w val="0.282933"/>
          <c:h val="0.265812"/>
        </c:manualLayout>
      </c:layout>
      <c:overlay val="1"/>
      <c:spPr>
        <a:noFill/>
        <a:ln w="12700" cap="flat">
          <a:noFill/>
          <a:miter lim="400000"/>
        </a:ln>
        <a:effectLst/>
      </c:spPr>
      <c:txPr>
        <a:bodyPr rot="0"/>
        <a:lstStyle/>
        <a:p>
          <a:pPr>
            <a:defRPr b="0" i="0" strike="noStrike" sz="1000" u="none">
              <a:solidFill>
                <a:srgbClr val="000000"/>
              </a:solidFill>
              <a:latin typeface="Calibri"/>
            </a:defRPr>
          </a:pPr>
        </a:p>
      </c:txPr>
    </c:legend>
    <c:plotVisOnly val="1"/>
    <c:dispBlanksAs val="gap"/>
  </c:chart>
  <c:spPr>
    <a:solidFill>
      <a:srgbClr val="FFFFFF"/>
    </a:solidFill>
    <a:ln w="12700" cap="flat">
      <a:solidFill>
        <a:srgbClr val="888888"/>
      </a:solidFill>
      <a:prstDash val="solid"/>
      <a:round/>
    </a:ln>
    <a:effectLst/>
  </c:spPr>
</c:chartSpace>
</file>

<file path=xl/charts/chart6.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1" i="0" strike="noStrike" sz="1800" u="none">
                <a:solidFill>
                  <a:srgbClr val="000000"/>
                </a:solidFill>
                <a:latin typeface="Calibri"/>
              </a:defRPr>
            </a:pPr>
            <a:r>
              <a:rPr b="1" i="0" strike="noStrike" sz="1800" u="none">
                <a:solidFill>
                  <a:srgbClr val="000000"/>
                </a:solidFill>
                <a:latin typeface="Calibri"/>
              </a:rPr>
              <a:t>PART. M. OPERATIVOS</a:t>
            </a:r>
          </a:p>
        </c:rich>
      </c:tx>
      <c:layout>
        <c:manualLayout>
          <c:xMode val="edge"/>
          <c:yMode val="edge"/>
          <c:x val="0.173312"/>
          <c:y val="0"/>
          <c:w val="0.363827"/>
          <c:h val="0.157082"/>
        </c:manualLayout>
      </c:layout>
      <c:overlay val="1"/>
      <c:spPr>
        <a:noFill/>
        <a:effectLst/>
      </c:spPr>
    </c:title>
    <c:autoTitleDeleted val="1"/>
    <c:plotArea>
      <c:layout>
        <c:manualLayout>
          <c:layoutTarget val="inner"/>
          <c:xMode val="edge"/>
          <c:yMode val="edge"/>
          <c:x val="0.0862461"/>
          <c:y val="0.157082"/>
          <c:w val="0.621796"/>
          <c:h val="0.743014"/>
        </c:manualLayout>
      </c:layout>
      <c:barChart>
        <c:barDir val="col"/>
        <c:grouping val="clustered"/>
        <c:varyColors val="0"/>
        <c:ser>
          <c:idx val="0"/>
          <c:order val="0"/>
          <c:tx>
            <c:strRef>
              <c:f>'2015'!$A$67</c:f>
              <c:strCache>
                <c:ptCount val="1"/>
                <c:pt idx="0">
                  <c:v>PART. M. OPERATIVOS</c:v>
                </c:pt>
              </c:strCache>
            </c:strRef>
          </c:tx>
          <c:spPr>
            <a:gradFill flip="none" rotWithShape="1">
              <a:gsLst>
                <a:gs pos="0">
                  <a:srgbClr val="3F80CE"/>
                </a:gs>
                <a:gs pos="100000">
                  <a:schemeClr val="accent1">
                    <a:hueOff val="357503"/>
                    <a:satOff val="54545"/>
                    <a:lumOff val="29273"/>
                  </a:schemeClr>
                </a:gs>
              </a:gsLst>
              <a:lin ang="16200000" scaled="0"/>
            </a:gradFill>
            <a:ln w="12700" cap="flat">
              <a:noFill/>
              <a:miter lim="400000"/>
            </a:ln>
            <a:effectLst>
              <a:outerShdw sx="100000" sy="100000" kx="0" ky="0" algn="tl" rotWithShape="1" blurRad="38100" dist="23000" dir="5400000">
                <a:srgbClr val="000000">
                  <a:alpha val="35000"/>
                </a:srgbClr>
              </a:outerShdw>
            </a:effectLst>
          </c:spPr>
          <c:invertIfNegative val="0"/>
          <c:dLbls>
            <c:numFmt formatCode="0.0%" sourceLinked="0"/>
            <c:txPr>
              <a:bodyPr/>
              <a:lstStyle/>
              <a:p>
                <a:pPr>
                  <a:defRPr b="0" i="0" strike="noStrike" sz="1000" u="none">
                    <a:solidFill>
                      <a:srgbClr val="000000"/>
                    </a:solidFill>
                    <a:latin typeface="Calibri"/>
                  </a:defRPr>
                </a:pPr>
              </a:p>
            </c:txPr>
            <c:dLblPos val="outEnd"/>
            <c:showLegendKey val="0"/>
            <c:showVal val="1"/>
            <c:showCatName val="0"/>
            <c:showSerName val="0"/>
            <c:showPercent val="0"/>
            <c:showBubbleSize val="0"/>
            <c:showLeaderLines val="0"/>
          </c:dLbls>
          <c:cat>
            <c:strRef>
              <c:f>'2015'!$B$66:$M$66</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'2015'!$B$67:$M$67</c:f>
              <c:numCache>
                <c:ptCount val="12"/>
                <c:pt idx="0">
                  <c:v>0.413897</c:v>
                </c:pt>
                <c:pt idx="1">
                  <c:v>0.213064</c:v>
                </c:pt>
                <c:pt idx="2">
                  <c:v>0.196952</c:v>
                </c:pt>
                <c:pt idx="3">
                  <c:v>0.237308</c:v>
                </c:pt>
                <c:pt idx="4">
                  <c:v>0.250583</c:v>
                </c:pt>
                <c:pt idx="5">
                  <c:v>0.255249</c:v>
                </c:pt>
                <c:pt idx="6">
                  <c:v>0.264228</c:v>
                </c:pt>
                <c:pt idx="7">
                  <c:v>0.286573</c:v>
                </c:pt>
                <c:pt idx="8">
                  <c:v>0.317234</c:v>
                </c:pt>
                <c:pt idx="9">
                  <c:v>0.309129</c:v>
                </c:pt>
                <c:pt idx="10">
                  <c:v>0.326039</c:v>
                </c:pt>
                <c:pt idx="11">
                  <c:v>0.380102</c:v>
                </c:pt>
              </c:numCache>
            </c:numRef>
          </c:val>
        </c:ser>
        <c:gapWidth val="150"/>
        <c:overlap val="0"/>
        <c:axId val="2094734552"/>
        <c:axId val="2094734553"/>
      </c:barChart>
      <c:catAx>
        <c:axId val="2094734552"/>
        <c:scaling>
          <c:orientation val="minMax"/>
        </c:scaling>
        <c:delete val="0"/>
        <c:axPos val="b"/>
        <c:numFmt formatCode="General" sourceLinked="1"/>
        <c:majorTickMark val="out"/>
        <c:minorTickMark val="none"/>
        <c:tickLblPos val="low"/>
        <c:spPr>
          <a:ln w="12700" cap="flat">
            <a:solidFill>
              <a:srgbClr val="888888"/>
            </a:solidFill>
            <a:prstDash val="solid"/>
            <a:round/>
          </a:ln>
        </c:spPr>
        <c:txPr>
          <a:bodyPr rot="0"/>
          <a:lstStyle/>
          <a:p>
            <a:pPr>
              <a:defRPr b="0" i="0" strike="noStrike" sz="1000" u="none">
                <a:solidFill>
                  <a:srgbClr val="000000"/>
                </a:solidFill>
                <a:latin typeface="Calibri"/>
              </a:defRPr>
            </a:pPr>
          </a:p>
        </c:txPr>
        <c:crossAx val="2094734553"/>
        <c:crosses val="autoZero"/>
        <c:auto val="1"/>
        <c:lblAlgn val="ctr"/>
        <c:noMultiLvlLbl val="1"/>
      </c:catAx>
      <c:valAx>
        <c:axId val="2094734553"/>
        <c:scaling>
          <c:orientation val="minMax"/>
        </c:scaling>
        <c:delete val="0"/>
        <c:axPos val="l"/>
        <c:majorGridlines>
          <c:spPr>
            <a:ln w="12700" cap="flat">
              <a:solidFill>
                <a:srgbClr val="888888"/>
              </a:solidFill>
              <a:prstDash val="solid"/>
              <a:round/>
            </a:ln>
          </c:spPr>
        </c:majorGridlines>
        <c:numFmt formatCode="General" sourceLinked="1"/>
        <c:majorTickMark val="out"/>
        <c:minorTickMark val="none"/>
        <c:tickLblPos val="nextTo"/>
        <c:spPr>
          <a:ln w="12700" cap="flat">
            <a:solidFill>
              <a:srgbClr val="888888"/>
            </a:solidFill>
            <a:prstDash val="solid"/>
            <a:round/>
          </a:ln>
        </c:spPr>
        <c:txPr>
          <a:bodyPr rot="0"/>
          <a:lstStyle/>
          <a:p>
            <a:pPr>
              <a:defRPr b="0" i="0" strike="noStrike" sz="1000" u="none">
                <a:solidFill>
                  <a:srgbClr val="000000"/>
                </a:solidFill>
                <a:latin typeface="Calibri"/>
              </a:defRPr>
            </a:pPr>
          </a:p>
        </c:txPr>
        <c:crossAx val="2094734552"/>
        <c:crosses val="autoZero"/>
        <c:crossBetween val="between"/>
        <c:majorUnit val="0.125"/>
        <c:minorUnit val="0.0625"/>
      </c:valAx>
      <c:spPr>
        <a:solidFill>
          <a:srgbClr val="FFFFFF"/>
        </a:solidFill>
        <a:ln w="12700" cap="flat">
          <a:noFill/>
          <a:miter lim="400000"/>
        </a:ln>
        <a:effectLst/>
      </c:spPr>
    </c:plotArea>
    <c:legend>
      <c:legendPos val="r"/>
      <c:layout>
        <c:manualLayout>
          <c:xMode val="edge"/>
          <c:yMode val="edge"/>
          <c:x val="0.742619"/>
          <c:y val="0.451594"/>
          <c:w val="0.257381"/>
          <c:h val="0.0789969"/>
        </c:manualLayout>
      </c:layout>
      <c:overlay val="1"/>
      <c:spPr>
        <a:noFill/>
        <a:ln w="12700" cap="flat">
          <a:noFill/>
          <a:miter lim="400000"/>
        </a:ln>
        <a:effectLst/>
      </c:spPr>
      <c:txPr>
        <a:bodyPr rot="0"/>
        <a:lstStyle/>
        <a:p>
          <a:pPr>
            <a:defRPr b="0" i="0" strike="noStrike" sz="1000" u="none">
              <a:solidFill>
                <a:srgbClr val="000000"/>
              </a:solidFill>
              <a:latin typeface="Calibri"/>
            </a:defRPr>
          </a:pPr>
        </a:p>
      </c:txPr>
    </c:legend>
    <c:plotVisOnly val="1"/>
    <c:dispBlanksAs val="gap"/>
  </c:chart>
  <c:spPr>
    <a:solidFill>
      <a:srgbClr val="FFFFFF"/>
    </a:solidFill>
    <a:ln w="12700" cap="flat">
      <a:solidFill>
        <a:srgbClr val="888888"/>
      </a:solidFill>
      <a:prstDash val="solid"/>
      <a:round/>
    </a:ln>
    <a:effectLst/>
  </c:spPr>
</c:chartSpace>
</file>

<file path=xl/charts/chart7.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78083"/>
          <c:y val="0.0602029"/>
          <c:w val="0.816917"/>
          <c:h val="0.829847"/>
        </c:manualLayout>
      </c:layout>
      <c:barChart>
        <c:barDir val="col"/>
        <c:grouping val="clustered"/>
        <c:varyColors val="0"/>
        <c:ser>
          <c:idx val="0"/>
          <c:order val="0"/>
          <c:tx>
            <c:v>Series1</c:v>
          </c:tx>
          <c:spPr>
            <a:gradFill flip="none" rotWithShape="1">
              <a:gsLst>
                <a:gs pos="0">
                  <a:srgbClr val="3F80CE"/>
                </a:gs>
                <a:gs pos="100000">
                  <a:schemeClr val="accent1">
                    <a:hueOff val="357503"/>
                    <a:satOff val="54545"/>
                    <a:lumOff val="29273"/>
                  </a:schemeClr>
                </a:gs>
              </a:gsLst>
              <a:lin ang="16200000" scaled="0"/>
            </a:gradFill>
            <a:ln w="12700" cap="flat">
              <a:noFill/>
              <a:miter lim="400000"/>
            </a:ln>
            <a:effectLst>
              <a:outerShdw sx="100000" sy="100000" kx="0" ky="0" algn="tl" rotWithShape="1" blurRad="38100" dist="23000" dir="5400000">
                <a:srgbClr val="000000">
                  <a:alpha val="35000"/>
                </a:srgbClr>
              </a:outerShdw>
            </a:effectLst>
          </c:spPr>
          <c:invertIfNegative val="0"/>
          <c:dLbls>
            <c:numFmt formatCode="&quot; &quot;#,##0&quot; &quot;;&quot;-&quot;#,##0&quot; &quot;;&quot; '- &quot;" sourceLinked="0"/>
            <c:txPr>
              <a:bodyPr/>
              <a:lstStyle/>
              <a:p>
                <a:pPr>
                  <a:defRPr b="0" i="0" strike="noStrike" sz="1000" u="none">
                    <a:solidFill>
                      <a:srgbClr val="000000"/>
                    </a:solidFill>
                    <a:latin typeface="Calibri"/>
                  </a:defRPr>
                </a:pPr>
              </a:p>
            </c:txPr>
            <c:dLblPos val="outEnd"/>
            <c:showLegendKey val="0"/>
            <c:showVal val="1"/>
            <c:showCatName val="0"/>
            <c:showSerName val="0"/>
            <c:showPercent val="0"/>
            <c:showBubbleSize val="0"/>
            <c:showLeaderLines val="0"/>
          </c:dLbls>
          <c:cat>
            <c:strRef>
              <c:f>'2015'!$A$144:$A$149</c:f>
              <c:strCache>
                <c:ptCount val="6"/>
                <c:pt idx="0">
                  <c:v>DOMINGO</c:v>
                </c:pt>
                <c:pt idx="1">
                  <c:v>MIERCOLES</c:v>
                </c:pt>
                <c:pt idx="2">
                  <c:v>AYUNO</c:v>
                </c:pt>
                <c:pt idx="3">
                  <c:v>ROCA KIDS</c:v>
                </c:pt>
                <c:pt idx="4">
                  <c:v>SOBRES</c:v>
                </c:pt>
                <c:pt idx="5">
                  <c:v>DIEZMOS ANUAL (M$)</c:v>
                </c:pt>
              </c:strCache>
            </c:strRef>
          </c:cat>
          <c:val>
            <c:numRef>
              <c:f>'2015'!$B$144:$B$149</c:f>
              <c:numCache>
                <c:ptCount val="6"/>
                <c:pt idx="0">
                  <c:v>832.666667</c:v>
                </c:pt>
                <c:pt idx="1">
                  <c:v>80.666667</c:v>
                </c:pt>
                <c:pt idx="2">
                  <c:v>152.000000</c:v>
                </c:pt>
                <c:pt idx="3">
                  <c:v>160.000000</c:v>
                </c:pt>
                <c:pt idx="4">
                  <c:v>773.916667</c:v>
                </c:pt>
                <c:pt idx="5">
                  <c:v>1525.546474</c:v>
                </c:pt>
              </c:numCache>
            </c:numRef>
          </c:val>
        </c:ser>
        <c:gapWidth val="150"/>
        <c:overlap val="0"/>
        <c:axId val="2094734552"/>
        <c:axId val="2094734553"/>
      </c:barChart>
      <c:catAx>
        <c:axId val="2094734552"/>
        <c:scaling>
          <c:orientation val="minMax"/>
        </c:scaling>
        <c:delete val="0"/>
        <c:axPos val="b"/>
        <c:numFmt formatCode="General" sourceLinked="1"/>
        <c:majorTickMark val="out"/>
        <c:minorTickMark val="none"/>
        <c:tickLblPos val="low"/>
        <c:spPr>
          <a:ln w="12700" cap="flat">
            <a:solidFill>
              <a:srgbClr val="888888"/>
            </a:solidFill>
            <a:prstDash val="solid"/>
            <a:round/>
          </a:ln>
        </c:spPr>
        <c:txPr>
          <a:bodyPr rot="0"/>
          <a:lstStyle/>
          <a:p>
            <a:pPr>
              <a:defRPr b="0" i="0" strike="noStrike" sz="1000" u="none">
                <a:solidFill>
                  <a:srgbClr val="000000"/>
                </a:solidFill>
                <a:latin typeface="Calibri"/>
              </a:defRPr>
            </a:pPr>
          </a:p>
        </c:txPr>
        <c:crossAx val="2094734553"/>
        <c:crosses val="autoZero"/>
        <c:auto val="1"/>
        <c:lblAlgn val="ctr"/>
        <c:noMultiLvlLbl val="1"/>
      </c:catAx>
      <c:valAx>
        <c:axId val="2094734553"/>
        <c:scaling>
          <c:orientation val="minMax"/>
        </c:scaling>
        <c:delete val="0"/>
        <c:axPos val="l"/>
        <c:majorGridlines>
          <c:spPr>
            <a:ln w="12700" cap="flat">
              <a:solidFill>
                <a:srgbClr val="888888"/>
              </a:solidFill>
              <a:prstDash val="solid"/>
              <a:round/>
            </a:ln>
          </c:spPr>
        </c:majorGridlines>
        <c:numFmt formatCode="General" sourceLinked="1"/>
        <c:majorTickMark val="out"/>
        <c:minorTickMark val="none"/>
        <c:tickLblPos val="nextTo"/>
        <c:spPr>
          <a:ln w="12700" cap="flat">
            <a:solidFill>
              <a:srgbClr val="888888"/>
            </a:solidFill>
            <a:prstDash val="solid"/>
            <a:round/>
          </a:ln>
        </c:spPr>
        <c:txPr>
          <a:bodyPr rot="0"/>
          <a:lstStyle/>
          <a:p>
            <a:pPr>
              <a:defRPr b="0" i="0" strike="noStrike" sz="1000" u="none">
                <a:solidFill>
                  <a:srgbClr val="000000"/>
                </a:solidFill>
                <a:latin typeface="Calibri"/>
              </a:defRPr>
            </a:pPr>
          </a:p>
        </c:txPr>
        <c:crossAx val="2094734552"/>
        <c:crosses val="autoZero"/>
        <c:crossBetween val="between"/>
        <c:majorUnit val="400"/>
        <c:minorUnit val="200"/>
      </c:valAx>
      <c:spPr>
        <a:solidFill>
          <a:srgbClr val="FFFFFF"/>
        </a:solidFill>
        <a:ln w="12700" cap="flat">
          <a:noFill/>
          <a:miter lim="400000"/>
        </a:ln>
        <a:effectLst/>
      </c:spPr>
    </c:plotArea>
    <c:plotVisOnly val="1"/>
    <c:dispBlanksAs val="gap"/>
  </c:chart>
  <c:spPr>
    <a:solidFill>
      <a:srgbClr val="FFFFFF"/>
    </a:solidFill>
    <a:ln w="12700" cap="flat">
      <a:solidFill>
        <a:srgbClr val="888888"/>
      </a:solidFill>
      <a:prstDash val="solid"/>
      <a:round/>
    </a:ln>
    <a:effectLst/>
  </c:spPr>
</c:chartSpace>
</file>

<file path=xl/charts/chart8.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999371"/>
          <c:y val="0.0602029"/>
          <c:w val="0.895063"/>
          <c:h val="0.829847"/>
        </c:manualLayout>
      </c:layout>
      <c:barChart>
        <c:barDir val="col"/>
        <c:grouping val="clustered"/>
        <c:varyColors val="0"/>
        <c:ser>
          <c:idx val="0"/>
          <c:order val="0"/>
          <c:tx>
            <c:v>Series1</c:v>
          </c:tx>
          <c:spPr>
            <a:gradFill flip="none" rotWithShape="1">
              <a:gsLst>
                <a:gs pos="0">
                  <a:srgbClr val="3F80CE"/>
                </a:gs>
                <a:gs pos="100000">
                  <a:schemeClr val="accent1">
                    <a:hueOff val="357503"/>
                    <a:satOff val="54545"/>
                    <a:lumOff val="29273"/>
                  </a:schemeClr>
                </a:gs>
              </a:gsLst>
              <a:lin ang="16200000" scaled="0"/>
            </a:gradFill>
            <a:ln w="12700" cap="flat">
              <a:noFill/>
              <a:miter lim="400000"/>
            </a:ln>
            <a:effectLst>
              <a:outerShdw sx="100000" sy="100000" kx="0" ky="0" algn="tl" rotWithShape="1" blurRad="38100" dist="23000" dir="5400000">
                <a:srgbClr val="000000">
                  <a:alpha val="35000"/>
                </a:srgbClr>
              </a:outerShdw>
            </a:effectLst>
          </c:spPr>
          <c:invertIfNegative val="0"/>
          <c:dLbls>
            <c:numFmt formatCode="0.0%" sourceLinked="0"/>
            <c:txPr>
              <a:bodyPr/>
              <a:lstStyle/>
              <a:p>
                <a:pPr>
                  <a:defRPr b="0" i="0" strike="noStrike" sz="1000" u="none">
                    <a:solidFill>
                      <a:srgbClr val="000000"/>
                    </a:solidFill>
                    <a:latin typeface="Calibri"/>
                  </a:defRPr>
                </a:pPr>
              </a:p>
            </c:txPr>
            <c:dLblPos val="outEnd"/>
            <c:showLegendKey val="0"/>
            <c:showVal val="1"/>
            <c:showCatName val="0"/>
            <c:showSerName val="0"/>
            <c:showPercent val="0"/>
            <c:showBubbleSize val="0"/>
            <c:showLeaderLines val="0"/>
          </c:dLbls>
          <c:cat>
            <c:strRef>
              <c:f>'2015'!$A$152:$A$153</c:f>
              <c:strCache>
                <c:ptCount val="2"/>
                <c:pt idx="0">
                  <c:v>PART. CONGREGACIONALES</c:v>
                </c:pt>
                <c:pt idx="1">
                  <c:v>PART. OPERATIVOS</c:v>
                </c:pt>
              </c:strCache>
            </c:strRef>
          </c:cat>
          <c:val>
            <c:numRef>
              <c:f>'2015'!$B$152:$B$153</c:f>
              <c:numCache>
                <c:ptCount val="2"/>
                <c:pt idx="0">
                  <c:v>0.512782</c:v>
                </c:pt>
                <c:pt idx="1">
                  <c:v>0.287530</c:v>
                </c:pt>
              </c:numCache>
            </c:numRef>
          </c:val>
        </c:ser>
        <c:gapWidth val="150"/>
        <c:overlap val="0"/>
        <c:axId val="2094734552"/>
        <c:axId val="2094734553"/>
      </c:barChart>
      <c:catAx>
        <c:axId val="2094734552"/>
        <c:scaling>
          <c:orientation val="minMax"/>
        </c:scaling>
        <c:delete val="0"/>
        <c:axPos val="b"/>
        <c:numFmt formatCode="General" sourceLinked="1"/>
        <c:majorTickMark val="out"/>
        <c:minorTickMark val="none"/>
        <c:tickLblPos val="low"/>
        <c:spPr>
          <a:ln w="12700" cap="flat">
            <a:solidFill>
              <a:srgbClr val="888888"/>
            </a:solidFill>
            <a:prstDash val="solid"/>
            <a:round/>
          </a:ln>
        </c:spPr>
        <c:txPr>
          <a:bodyPr rot="0"/>
          <a:lstStyle/>
          <a:p>
            <a:pPr>
              <a:defRPr b="0" i="0" strike="noStrike" sz="1000" u="none">
                <a:solidFill>
                  <a:srgbClr val="000000"/>
                </a:solidFill>
                <a:latin typeface="Calibri"/>
              </a:defRPr>
            </a:pPr>
          </a:p>
        </c:txPr>
        <c:crossAx val="2094734553"/>
        <c:crosses val="autoZero"/>
        <c:auto val="1"/>
        <c:lblAlgn val="ctr"/>
        <c:noMultiLvlLbl val="1"/>
      </c:catAx>
      <c:valAx>
        <c:axId val="2094734553"/>
        <c:scaling>
          <c:orientation val="minMax"/>
        </c:scaling>
        <c:delete val="0"/>
        <c:axPos val="l"/>
        <c:majorGridlines>
          <c:spPr>
            <a:ln w="12700" cap="flat">
              <a:solidFill>
                <a:srgbClr val="888888"/>
              </a:solidFill>
              <a:prstDash val="solid"/>
              <a:round/>
            </a:ln>
          </c:spPr>
        </c:majorGridlines>
        <c:numFmt formatCode="General" sourceLinked="1"/>
        <c:majorTickMark val="out"/>
        <c:minorTickMark val="none"/>
        <c:tickLblPos val="nextTo"/>
        <c:spPr>
          <a:ln w="12700" cap="flat">
            <a:solidFill>
              <a:srgbClr val="888888"/>
            </a:solidFill>
            <a:prstDash val="solid"/>
            <a:round/>
          </a:ln>
        </c:spPr>
        <c:txPr>
          <a:bodyPr rot="0"/>
          <a:lstStyle/>
          <a:p>
            <a:pPr>
              <a:defRPr b="0" i="0" strike="noStrike" sz="1000" u="none">
                <a:solidFill>
                  <a:srgbClr val="000000"/>
                </a:solidFill>
                <a:latin typeface="Calibri"/>
              </a:defRPr>
            </a:pPr>
          </a:p>
        </c:txPr>
        <c:crossAx val="2094734552"/>
        <c:crosses val="autoZero"/>
        <c:crossBetween val="between"/>
        <c:majorUnit val="0.15"/>
        <c:minorUnit val="0.075"/>
      </c:valAx>
      <c:spPr>
        <a:solidFill>
          <a:srgbClr val="FFFFFF"/>
        </a:solidFill>
        <a:ln w="12700" cap="flat">
          <a:noFill/>
          <a:miter lim="400000"/>
        </a:ln>
        <a:effectLst/>
      </c:spPr>
    </c:plotArea>
    <c:plotVisOnly val="1"/>
    <c:dispBlanksAs val="gap"/>
  </c:chart>
  <c:spPr>
    <a:solidFill>
      <a:srgbClr val="FFFFFF"/>
    </a:solidFill>
    <a:ln w="12700" cap="flat">
      <a:solidFill>
        <a:srgbClr val="888888"/>
      </a:solidFill>
      <a:prstDash val="solid"/>
      <a:round/>
    </a:ln>
    <a:effectLst/>
  </c:spPr>
</c:chartSpace>
</file>

<file path=xl/charts/chart9.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50792"/>
          <c:y val="0.0602029"/>
          <c:w val="0.844208"/>
          <c:h val="0.829847"/>
        </c:manualLayout>
      </c:layout>
      <c:barChart>
        <c:barDir val="col"/>
        <c:grouping val="clustered"/>
        <c:varyColors val="0"/>
        <c:ser>
          <c:idx val="0"/>
          <c:order val="0"/>
          <c:tx>
            <c:v>Series1</c:v>
          </c:tx>
          <c:spPr>
            <a:gradFill flip="none" rotWithShape="1">
              <a:gsLst>
                <a:gs pos="0">
                  <a:srgbClr val="3F80CE"/>
                </a:gs>
                <a:gs pos="100000">
                  <a:schemeClr val="accent1">
                    <a:hueOff val="357503"/>
                    <a:satOff val="54545"/>
                    <a:lumOff val="29273"/>
                  </a:schemeClr>
                </a:gs>
              </a:gsLst>
              <a:lin ang="16200000" scaled="0"/>
            </a:gradFill>
            <a:ln w="12700" cap="flat">
              <a:noFill/>
              <a:miter lim="400000"/>
            </a:ln>
            <a:effectLst>
              <a:outerShdw sx="100000" sy="100000" kx="0" ky="0" algn="tl" rotWithShape="1" blurRad="38100" dist="23000" dir="5400000">
                <a:srgbClr val="000000">
                  <a:alpha val="35000"/>
                </a:srgbClr>
              </a:outerShdw>
            </a:effectLst>
          </c:spPr>
          <c:invertIfNegative val="0"/>
          <c:dLbls>
            <c:numFmt formatCode="&quot; &quot;#,##0&quot; &quot;;&quot;-&quot;#,##0&quot; &quot;;&quot; '- &quot;" sourceLinked="0"/>
            <c:txPr>
              <a:bodyPr/>
              <a:lstStyle/>
              <a:p>
                <a:pPr>
                  <a:defRPr b="0" i="0" strike="noStrike" sz="1000" u="none">
                    <a:solidFill>
                      <a:srgbClr val="000000"/>
                    </a:solidFill>
                    <a:latin typeface="Calibri"/>
                  </a:defRPr>
                </a:pPr>
              </a:p>
            </c:txPr>
            <c:dLblPos val="outEnd"/>
            <c:showLegendKey val="0"/>
            <c:showVal val="1"/>
            <c:showCatName val="0"/>
            <c:showSerName val="0"/>
            <c:showPercent val="0"/>
            <c:showBubbleSize val="0"/>
            <c:showLeaderLines val="0"/>
          </c:dLbls>
          <c:cat>
            <c:strRef>
              <c:f>'2015'!$A$156:$A$159</c:f>
              <c:strCache>
                <c:ptCount val="4"/>
                <c:pt idx="0">
                  <c:v>NUEVOS</c:v>
                </c:pt>
                <c:pt idx="1">
                  <c:v>VN</c:v>
                </c:pt>
                <c:pt idx="2">
                  <c:v>BAUTIZOS</c:v>
                </c:pt>
                <c:pt idx="3">
                  <c:v>IBLI</c:v>
                </c:pt>
              </c:strCache>
            </c:strRef>
          </c:cat>
          <c:val>
            <c:numRef>
              <c:f>'2015'!$B$156:$B$159</c:f>
              <c:numCache>
                <c:ptCount val="4"/>
                <c:pt idx="0">
                  <c:v>71.833333</c:v>
                </c:pt>
                <c:pt idx="1">
                  <c:v>27.600000</c:v>
                </c:pt>
                <c:pt idx="2">
                  <c:v>12.750000</c:v>
                </c:pt>
                <c:pt idx="3">
                  <c:v>88.583333</c:v>
                </c:pt>
              </c:numCache>
            </c:numRef>
          </c:val>
        </c:ser>
        <c:gapWidth val="150"/>
        <c:overlap val="0"/>
        <c:axId val="2094734552"/>
        <c:axId val="2094734553"/>
      </c:barChart>
      <c:catAx>
        <c:axId val="2094734552"/>
        <c:scaling>
          <c:orientation val="minMax"/>
        </c:scaling>
        <c:delete val="0"/>
        <c:axPos val="b"/>
        <c:numFmt formatCode="General" sourceLinked="1"/>
        <c:majorTickMark val="out"/>
        <c:minorTickMark val="none"/>
        <c:tickLblPos val="low"/>
        <c:spPr>
          <a:ln w="12700" cap="flat">
            <a:solidFill>
              <a:srgbClr val="888888"/>
            </a:solidFill>
            <a:prstDash val="solid"/>
            <a:round/>
          </a:ln>
        </c:spPr>
        <c:txPr>
          <a:bodyPr rot="0"/>
          <a:lstStyle/>
          <a:p>
            <a:pPr>
              <a:defRPr b="0" i="0" strike="noStrike" sz="1000" u="none">
                <a:solidFill>
                  <a:srgbClr val="000000"/>
                </a:solidFill>
                <a:latin typeface="Calibri"/>
              </a:defRPr>
            </a:pPr>
          </a:p>
        </c:txPr>
        <c:crossAx val="2094734553"/>
        <c:crosses val="autoZero"/>
        <c:auto val="1"/>
        <c:lblAlgn val="ctr"/>
        <c:noMultiLvlLbl val="1"/>
      </c:catAx>
      <c:valAx>
        <c:axId val="2094734553"/>
        <c:scaling>
          <c:orientation val="minMax"/>
        </c:scaling>
        <c:delete val="0"/>
        <c:axPos val="l"/>
        <c:majorGridlines>
          <c:spPr>
            <a:ln w="12700" cap="flat">
              <a:solidFill>
                <a:srgbClr val="888888"/>
              </a:solidFill>
              <a:prstDash val="solid"/>
              <a:round/>
            </a:ln>
          </c:spPr>
        </c:majorGridlines>
        <c:numFmt formatCode="General" sourceLinked="1"/>
        <c:majorTickMark val="out"/>
        <c:minorTickMark val="none"/>
        <c:tickLblPos val="nextTo"/>
        <c:spPr>
          <a:ln w="12700" cap="flat">
            <a:solidFill>
              <a:srgbClr val="888888"/>
            </a:solidFill>
            <a:prstDash val="solid"/>
            <a:round/>
          </a:ln>
        </c:spPr>
        <c:txPr>
          <a:bodyPr rot="0"/>
          <a:lstStyle/>
          <a:p>
            <a:pPr>
              <a:defRPr b="0" i="0" strike="noStrike" sz="1000" u="none">
                <a:solidFill>
                  <a:srgbClr val="000000"/>
                </a:solidFill>
                <a:latin typeface="Calibri"/>
              </a:defRPr>
            </a:pPr>
          </a:p>
        </c:txPr>
        <c:crossAx val="2094734552"/>
        <c:crosses val="autoZero"/>
        <c:crossBetween val="between"/>
        <c:majorUnit val="22.5"/>
        <c:minorUnit val="11.25"/>
      </c:valAx>
      <c:spPr>
        <a:solidFill>
          <a:srgbClr val="FFFFFF"/>
        </a:solidFill>
        <a:ln w="12700" cap="flat">
          <a:noFill/>
          <a:miter lim="400000"/>
        </a:ln>
        <a:effectLst/>
      </c:spPr>
    </c:plotArea>
    <c:plotVisOnly val="1"/>
    <c:dispBlanksAs val="gap"/>
  </c:chart>
  <c:spPr>
    <a:solidFill>
      <a:srgbClr val="FFFFFF"/>
    </a:solidFill>
    <a:ln w="12700" cap="flat">
      <a:solidFill>
        <a:srgbClr val="888888"/>
      </a:solidFill>
      <a:prstDash val="solid"/>
      <a:round/>
    </a:ln>
    <a:effectLst/>
  </c:spPr>
</c:chartSpace>
</file>

<file path=xl/charts/chart10.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1" i="0" strike="noStrike" sz="1800" u="none">
                <a:solidFill>
                  <a:srgbClr val="000000"/>
                </a:solidFill>
                <a:latin typeface="Calibri"/>
              </a:defRPr>
            </a:pPr>
            <a:r>
              <a:rPr b="1" i="0" strike="noStrike" sz="1800" u="none">
                <a:solidFill>
                  <a:srgbClr val="000000"/>
                </a:solidFill>
                <a:latin typeface="Calibri"/>
              </a:rPr>
              <a:t>DIEZMOS</a:t>
            </a:r>
          </a:p>
        </c:rich>
      </c:tx>
      <c:layout>
        <c:manualLayout>
          <c:xMode val="edge"/>
          <c:yMode val="edge"/>
          <c:x val="0.355346"/>
          <c:y val="0"/>
          <c:w val="0.134024"/>
          <c:h val="0.157082"/>
        </c:manualLayout>
      </c:layout>
      <c:overlay val="1"/>
      <c:spPr>
        <a:noFill/>
        <a:effectLst/>
      </c:spPr>
    </c:title>
    <c:autoTitleDeleted val="1"/>
    <c:plotArea>
      <c:layout>
        <c:manualLayout>
          <c:layoutTarget val="inner"/>
          <c:xMode val="edge"/>
          <c:yMode val="edge"/>
          <c:x val="0.207635"/>
          <c:y val="0.157082"/>
          <c:w val="0.619148"/>
          <c:h val="0.743014"/>
        </c:manualLayout>
      </c:layout>
      <c:barChart>
        <c:barDir val="col"/>
        <c:grouping val="clustered"/>
        <c:varyColors val="0"/>
        <c:ser>
          <c:idx val="0"/>
          <c:order val="0"/>
          <c:tx>
            <c:strRef>
              <c:f>'2016'!$A$72</c:f>
              <c:strCache>
                <c:ptCount val="1"/>
                <c:pt idx="0">
                  <c:v>DIEZMOS</c:v>
                </c:pt>
              </c:strCache>
            </c:strRef>
          </c:tx>
          <c:spPr>
            <a:gradFill flip="none" rotWithShape="1">
              <a:gsLst>
                <a:gs pos="0">
                  <a:srgbClr val="3F80CE"/>
                </a:gs>
                <a:gs pos="100000">
                  <a:schemeClr val="accent1">
                    <a:hueOff val="357503"/>
                    <a:satOff val="54545"/>
                    <a:lumOff val="29273"/>
                  </a:schemeClr>
                </a:gs>
              </a:gsLst>
              <a:lin ang="16200000" scaled="0"/>
            </a:gradFill>
            <a:ln w="12700" cap="flat">
              <a:noFill/>
              <a:miter lim="400000"/>
            </a:ln>
            <a:effectLst>
              <a:outerShdw sx="100000" sy="100000" kx="0" ky="0" algn="tl" rotWithShape="1" blurRad="38100" dist="23000" dir="5400000">
                <a:srgbClr val="000000">
                  <a:alpha val="35000"/>
                </a:srgbClr>
              </a:outerShdw>
            </a:effectLst>
          </c:spPr>
          <c:invertIfNegative val="0"/>
          <c:dLbls>
            <c:numFmt formatCode="&quot; &quot;#,##0&quot; &quot;;&quot; '(&quot;#,##0);&quot; '-&quot;??&quot; &quot;" sourceLinked="0"/>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0"/>
          </c:dLbls>
          <c:cat>
            <c:strRef>
              <c:f>'2016'!$B$71:$J$71</c:f>
              <c:strCache>
                <c:ptCount val="9"/>
                <c:pt idx="0">
                  <c:v>ENERO</c:v>
                </c:pt>
                <c:pt idx="1">
                  <c:v>FEBRERO</c:v>
                </c:pt>
                <c:pt idx="2">
                  <c:v>MARZO</c:v>
                </c:pt>
                <c:pt idx="3">
                  <c:v>ABRIL</c:v>
                </c:pt>
                <c:pt idx="4">
                  <c:v>MAYO</c:v>
                </c:pt>
                <c:pt idx="5">
                  <c:v>JUNIO</c:v>
                </c:pt>
                <c:pt idx="6">
                  <c:v>JULIO</c:v>
                </c:pt>
                <c:pt idx="7">
                  <c:v>AGOSTO</c:v>
                </c:pt>
                <c:pt idx="8">
                  <c:v>SEPTIEMBRE</c:v>
                </c:pt>
              </c:strCache>
            </c:strRef>
          </c:cat>
          <c:val>
            <c:numRef>
              <c:f>'2016'!$B$72:$J$72</c:f>
              <c:numCache>
                <c:ptCount val="9"/>
                <c:pt idx="0">
                  <c:v>141125066.000000</c:v>
                </c:pt>
                <c:pt idx="1">
                  <c:v>138796256.000000</c:v>
                </c:pt>
                <c:pt idx="2">
                  <c:v>157762290.000000</c:v>
                </c:pt>
                <c:pt idx="3">
                  <c:v>144558419.000000</c:v>
                </c:pt>
                <c:pt idx="4">
                  <c:v>155513013.000000</c:v>
                </c:pt>
                <c:pt idx="5">
                  <c:v>144555593.000000</c:v>
                </c:pt>
                <c:pt idx="6">
                  <c:v>198601041.000000</c:v>
                </c:pt>
                <c:pt idx="7">
                  <c:v>129812628.000000</c:v>
                </c:pt>
                <c:pt idx="8">
                  <c:v>144322655.000000</c:v>
                </c:pt>
              </c:numCache>
            </c:numRef>
          </c:val>
        </c:ser>
        <c:gapWidth val="150"/>
        <c:overlap val="0"/>
        <c:axId val="2094734552"/>
        <c:axId val="2094734553"/>
      </c:barChart>
      <c:catAx>
        <c:axId val="2094734552"/>
        <c:scaling>
          <c:orientation val="minMax"/>
        </c:scaling>
        <c:delete val="0"/>
        <c:axPos val="b"/>
        <c:numFmt formatCode="&quot; &quot;* #,##0&quot; &quot;;&quot; &quot;* (#,##0);&quot; &quot;* &quot;-&quot;??&quot; &quot;" sourceLinked="1"/>
        <c:majorTickMark val="out"/>
        <c:minorTickMark val="none"/>
        <c:tickLblPos val="low"/>
        <c:spPr>
          <a:ln w="12700" cap="flat">
            <a:solidFill>
              <a:srgbClr val="888888"/>
            </a:solidFill>
            <a:prstDash val="solid"/>
            <a:round/>
          </a:ln>
        </c:spPr>
        <c:txPr>
          <a:bodyPr rot="0"/>
          <a:lstStyle/>
          <a:p>
            <a:pPr>
              <a:defRPr b="0" i="0" strike="noStrike" sz="1000" u="none">
                <a:solidFill>
                  <a:srgbClr val="000000"/>
                </a:solidFill>
                <a:latin typeface="Calibri"/>
              </a:defRPr>
            </a:pPr>
          </a:p>
        </c:txPr>
        <c:crossAx val="2094734553"/>
        <c:crosses val="autoZero"/>
        <c:auto val="1"/>
        <c:lblAlgn val="ctr"/>
        <c:noMultiLvlLbl val="1"/>
      </c:catAx>
      <c:valAx>
        <c:axId val="2094734553"/>
        <c:scaling>
          <c:orientation val="minMax"/>
        </c:scaling>
        <c:delete val="0"/>
        <c:axPos val="l"/>
        <c:majorGridlines>
          <c:spPr>
            <a:ln w="12700" cap="flat">
              <a:solidFill>
                <a:srgbClr val="888888"/>
              </a:solidFill>
              <a:prstDash val="solid"/>
              <a:round/>
            </a:ln>
          </c:spPr>
        </c:majorGridlines>
        <c:numFmt formatCode="&quot; &quot;* #,##0&quot; &quot;;&quot; &quot;* (#,##0);&quot; &quot;* &quot;-&quot;??&quot; &quot;" sourceLinked="1"/>
        <c:majorTickMark val="out"/>
        <c:minorTickMark val="none"/>
        <c:tickLblPos val="nextTo"/>
        <c:spPr>
          <a:ln w="12700" cap="flat">
            <a:solidFill>
              <a:srgbClr val="888888"/>
            </a:solidFill>
            <a:prstDash val="solid"/>
            <a:round/>
          </a:ln>
        </c:spPr>
        <c:txPr>
          <a:bodyPr rot="0"/>
          <a:lstStyle/>
          <a:p>
            <a:pPr>
              <a:defRPr b="0" i="0" strike="noStrike" sz="1000" u="none">
                <a:solidFill>
                  <a:srgbClr val="000000"/>
                </a:solidFill>
                <a:latin typeface="Calibri"/>
              </a:defRPr>
            </a:pPr>
          </a:p>
        </c:txPr>
        <c:crossAx val="2094734552"/>
        <c:crosses val="autoZero"/>
        <c:crossBetween val="between"/>
        <c:majorUnit val="5e+07"/>
        <c:minorUnit val="2.5e+07"/>
      </c:valAx>
      <c:spPr>
        <a:solidFill>
          <a:srgbClr val="FFFFFF"/>
        </a:solidFill>
        <a:ln w="12700" cap="flat">
          <a:noFill/>
          <a:miter lim="400000"/>
        </a:ln>
        <a:effectLst/>
      </c:spPr>
    </c:plotArea>
    <c:legend>
      <c:legendPos val="r"/>
      <c:layout>
        <c:manualLayout>
          <c:xMode val="edge"/>
          <c:yMode val="edge"/>
          <c:x val="0.85621"/>
          <c:y val="0.451594"/>
          <c:w val="0.14379"/>
          <c:h val="0.0789969"/>
        </c:manualLayout>
      </c:layout>
      <c:overlay val="1"/>
      <c:spPr>
        <a:noFill/>
        <a:ln w="12700" cap="flat">
          <a:noFill/>
          <a:miter lim="400000"/>
        </a:ln>
        <a:effectLst/>
      </c:spPr>
      <c:txPr>
        <a:bodyPr rot="0"/>
        <a:lstStyle/>
        <a:p>
          <a:pPr>
            <a:defRPr b="0" i="0" strike="noStrike" sz="1000" u="none">
              <a:solidFill>
                <a:srgbClr val="000000"/>
              </a:solidFill>
              <a:latin typeface="Calibri"/>
            </a:defRPr>
          </a:pPr>
        </a:p>
      </c:txPr>
    </c:legend>
    <c:plotVisOnly val="1"/>
    <c:dispBlanksAs val="gap"/>
  </c:chart>
  <c:spPr>
    <a:solidFill>
      <a:srgbClr val="FFFFFF"/>
    </a:solidFill>
    <a:ln w="12700" cap="flat">
      <a:solidFill>
        <a:srgbClr val="888888"/>
      </a:solidFill>
      <a:prstDash val="solid"/>
      <a:round/>
    </a:ln>
    <a:effectLst/>
  </c:spPr>
</c:chartSpace>
</file>

<file path=xl/charts/chart11.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744499"/>
          <c:y val="0.0602029"/>
          <c:w val="0.68942"/>
          <c:h val="0.829847"/>
        </c:manualLayout>
      </c:layout>
      <c:barChart>
        <c:barDir val="col"/>
        <c:grouping val="clustered"/>
        <c:varyColors val="0"/>
        <c:ser>
          <c:idx val="0"/>
          <c:order val="0"/>
          <c:tx>
            <c:strRef>
              <c:f>'2016'!$A$34</c:f>
              <c:strCache>
                <c:ptCount val="1"/>
                <c:pt idx="0">
                  <c:v>CONVERSIONES</c:v>
                </c:pt>
              </c:strCache>
            </c:strRef>
          </c:tx>
          <c:spPr>
            <a:gradFill flip="none" rotWithShape="1">
              <a:gsLst>
                <a:gs pos="0">
                  <a:srgbClr val="3F80CE"/>
                </a:gs>
                <a:gs pos="100000">
                  <a:schemeClr val="accent1">
                    <a:hueOff val="357503"/>
                    <a:satOff val="54545"/>
                    <a:lumOff val="29273"/>
                  </a:schemeClr>
                </a:gs>
              </a:gsLst>
              <a:lin ang="16200000" scaled="0"/>
            </a:gradFill>
            <a:ln w="12700" cap="flat">
              <a:noFill/>
              <a:miter lim="400000"/>
            </a:ln>
            <a:effectLst>
              <a:outerShdw sx="100000" sy="100000" kx="0" ky="0" algn="tl" rotWithShape="1" blurRad="38100" dist="23000" dir="5400000">
                <a:srgbClr val="000000">
                  <a:alpha val="35000"/>
                </a:srgbClr>
              </a:outerShdw>
            </a:effectLst>
          </c:spPr>
          <c:invertIfNegative val="0"/>
          <c:dLbls>
            <c:numFmt formatCode="General" sourceLinked="1"/>
            <c:txPr>
              <a:bodyPr/>
              <a:lstStyle/>
              <a:p>
                <a:pPr>
                  <a:defRPr b="0" i="0" strike="noStrike" sz="1000" u="none">
                    <a:solidFill>
                      <a:srgbClr val="000000"/>
                    </a:solidFill>
                    <a:latin typeface="Calibri"/>
                  </a:defRPr>
                </a:pPr>
              </a:p>
            </c:txPr>
            <c:dLblPos val="outEnd"/>
            <c:showLegendKey val="0"/>
            <c:showVal val="1"/>
            <c:showCatName val="0"/>
            <c:showSerName val="0"/>
            <c:showPercent val="0"/>
            <c:showBubbleSize val="0"/>
            <c:showLeaderLines val="0"/>
          </c:dLbls>
          <c:cat>
            <c:strRef>
              <c:f>'2016'!$B$33:$I$33</c:f>
              <c:strCache>
                <c:ptCount val="8"/>
                <c:pt idx="0">
                  <c:v>ENERO</c:v>
                </c:pt>
                <c:pt idx="1">
                  <c:v>FEBRERO</c:v>
                </c:pt>
                <c:pt idx="2">
                  <c:v>MARZO</c:v>
                </c:pt>
                <c:pt idx="3">
                  <c:v>ABRIL</c:v>
                </c:pt>
                <c:pt idx="4">
                  <c:v>MAYO</c:v>
                </c:pt>
                <c:pt idx="5">
                  <c:v>JUNIO</c:v>
                </c:pt>
                <c:pt idx="6">
                  <c:v>JULIO</c:v>
                </c:pt>
                <c:pt idx="7">
                  <c:v>AGOSTO</c:v>
                </c:pt>
              </c:strCache>
            </c:strRef>
          </c:cat>
          <c:val>
            <c:numRef>
              <c:f>'2016'!$B$34:$I$34</c:f>
              <c:numCache>
                <c:ptCount val="8"/>
                <c:pt idx="0">
                  <c:v>104.000000</c:v>
                </c:pt>
                <c:pt idx="1">
                  <c:v>88.000000</c:v>
                </c:pt>
                <c:pt idx="2">
                  <c:v>106.000000</c:v>
                </c:pt>
                <c:pt idx="3">
                  <c:v>102.000000</c:v>
                </c:pt>
                <c:pt idx="4">
                  <c:v>68.000000</c:v>
                </c:pt>
                <c:pt idx="5">
                  <c:v>52.000000</c:v>
                </c:pt>
                <c:pt idx="6">
                  <c:v>93.000000</c:v>
                </c:pt>
                <c:pt idx="7">
                  <c:v>59.000000</c:v>
                </c:pt>
              </c:numCache>
            </c:numRef>
          </c:val>
        </c:ser>
        <c:ser>
          <c:idx val="1"/>
          <c:order val="1"/>
          <c:tx>
            <c:strRef>
              <c:f>'2016'!$A$35</c:f>
              <c:strCache>
                <c:ptCount val="1"/>
                <c:pt idx="0">
                  <c:v>A.D.N.</c:v>
                </c:pt>
              </c:strCache>
            </c:strRef>
          </c:tx>
          <c:spPr>
            <a:gradFill flip="none" rotWithShape="1">
              <a:gsLst>
                <a:gs pos="0">
                  <a:srgbClr val="D1403C"/>
                </a:gs>
                <a:gs pos="100000">
                  <a:schemeClr val="accent2">
                    <a:hueOff val="-39879"/>
                    <a:satOff val="52282"/>
                    <a:lumOff val="29251"/>
                  </a:schemeClr>
                </a:gs>
              </a:gsLst>
              <a:lin ang="16200000" scaled="0"/>
            </a:gradFill>
            <a:ln w="12700" cap="flat">
              <a:noFill/>
              <a:miter lim="400000"/>
            </a:ln>
            <a:effectLst>
              <a:outerShdw sx="100000" sy="100000" kx="0" ky="0" algn="tl" rotWithShape="1" blurRad="38100" dist="23000" dir="5400000">
                <a:srgbClr val="000000">
                  <a:alpha val="35000"/>
                </a:srgbClr>
              </a:outerShdw>
            </a:effectLst>
          </c:spPr>
          <c:invertIfNegative val="0"/>
          <c:dLbls>
            <c:numFmt formatCode="General" sourceLinked="1"/>
            <c:txPr>
              <a:bodyPr/>
              <a:lstStyle/>
              <a:p>
                <a:pPr>
                  <a:defRPr b="0" i="0" strike="noStrike" sz="1000" u="none">
                    <a:solidFill>
                      <a:srgbClr val="000000"/>
                    </a:solidFill>
                    <a:latin typeface="Calibri"/>
                  </a:defRPr>
                </a:pPr>
              </a:p>
            </c:txPr>
            <c:dLblPos val="outEnd"/>
            <c:showLegendKey val="0"/>
            <c:showVal val="1"/>
            <c:showCatName val="0"/>
            <c:showSerName val="0"/>
            <c:showPercent val="0"/>
            <c:showBubbleSize val="0"/>
            <c:showLeaderLines val="0"/>
          </c:dLbls>
          <c:cat>
            <c:strRef>
              <c:f>'2016'!$B$33:$I$33</c:f>
              <c:strCache>
                <c:ptCount val="8"/>
                <c:pt idx="0">
                  <c:v>ENERO</c:v>
                </c:pt>
                <c:pt idx="1">
                  <c:v>FEBRERO</c:v>
                </c:pt>
                <c:pt idx="2">
                  <c:v>MARZO</c:v>
                </c:pt>
                <c:pt idx="3">
                  <c:v>ABRIL</c:v>
                </c:pt>
                <c:pt idx="4">
                  <c:v>MAYO</c:v>
                </c:pt>
                <c:pt idx="5">
                  <c:v>JUNIO</c:v>
                </c:pt>
                <c:pt idx="6">
                  <c:v>JULIO</c:v>
                </c:pt>
                <c:pt idx="7">
                  <c:v>AGOSTO</c:v>
                </c:pt>
              </c:strCache>
            </c:strRef>
          </c:cat>
          <c:val>
            <c:numRef>
              <c:f>'2016'!$B$35:$I$35</c:f>
              <c:numCache>
                <c:ptCount val="8"/>
                <c:pt idx="0">
                  <c:v>42.000000</c:v>
                </c:pt>
                <c:pt idx="1">
                  <c:v>26.000000</c:v>
                </c:pt>
                <c:pt idx="2">
                  <c:v>34.000000</c:v>
                </c:pt>
                <c:pt idx="3">
                  <c:v>25.000000</c:v>
                </c:pt>
                <c:pt idx="4">
                  <c:v>22.000000</c:v>
                </c:pt>
                <c:pt idx="5">
                  <c:v>29.000000</c:v>
                </c:pt>
                <c:pt idx="6">
                  <c:v>22.000000</c:v>
                </c:pt>
                <c:pt idx="7">
                  <c:v>50.000000</c:v>
                </c:pt>
              </c:numCache>
            </c:numRef>
          </c:val>
        </c:ser>
        <c:ser>
          <c:idx val="2"/>
          <c:order val="2"/>
          <c:tx>
            <c:strRef>
              <c:f>'2016'!$A$36</c:f>
              <c:strCache>
                <c:ptCount val="1"/>
                <c:pt idx="0">
                  <c:v>BAUTIZOS</c:v>
                </c:pt>
              </c:strCache>
            </c:strRef>
          </c:tx>
          <c:spPr>
            <a:gradFill flip="none" rotWithShape="1">
              <a:gsLst>
                <a:gs pos="0">
                  <a:srgbClr val="A0CA4A"/>
                </a:gs>
                <a:gs pos="100000">
                  <a:srgbClr val="DAFFA3"/>
                </a:gs>
              </a:gsLst>
              <a:lin ang="16200000" scaled="0"/>
            </a:gradFill>
            <a:ln w="12700" cap="flat">
              <a:noFill/>
              <a:miter lim="400000"/>
            </a:ln>
            <a:effectLst>
              <a:outerShdw sx="100000" sy="100000" kx="0" ky="0" algn="tl" rotWithShape="1" blurRad="38100" dist="23000" dir="5400000">
                <a:srgbClr val="000000">
                  <a:alpha val="35000"/>
                </a:srgbClr>
              </a:outerShdw>
            </a:effectLst>
          </c:spPr>
          <c:invertIfNegative val="0"/>
          <c:dLbls>
            <c:numFmt formatCode="General" sourceLinked="1"/>
            <c:txPr>
              <a:bodyPr/>
              <a:lstStyle/>
              <a:p>
                <a:pPr>
                  <a:defRPr b="0" i="0" strike="noStrike" sz="1000" u="none">
                    <a:solidFill>
                      <a:srgbClr val="000000"/>
                    </a:solidFill>
                    <a:latin typeface="Calibri"/>
                  </a:defRPr>
                </a:pPr>
              </a:p>
            </c:txPr>
            <c:dLblPos val="outEnd"/>
            <c:showLegendKey val="0"/>
            <c:showVal val="1"/>
            <c:showCatName val="0"/>
            <c:showSerName val="0"/>
            <c:showPercent val="0"/>
            <c:showBubbleSize val="0"/>
            <c:showLeaderLines val="0"/>
          </c:dLbls>
          <c:cat>
            <c:strRef>
              <c:f>'2016'!$B$33:$I$33</c:f>
              <c:strCache>
                <c:ptCount val="8"/>
                <c:pt idx="0">
                  <c:v>ENERO</c:v>
                </c:pt>
                <c:pt idx="1">
                  <c:v>FEBRERO</c:v>
                </c:pt>
                <c:pt idx="2">
                  <c:v>MARZO</c:v>
                </c:pt>
                <c:pt idx="3">
                  <c:v>ABRIL</c:v>
                </c:pt>
                <c:pt idx="4">
                  <c:v>MAYO</c:v>
                </c:pt>
                <c:pt idx="5">
                  <c:v>JUNIO</c:v>
                </c:pt>
                <c:pt idx="6">
                  <c:v>JULIO</c:v>
                </c:pt>
                <c:pt idx="7">
                  <c:v>AGOSTO</c:v>
                </c:pt>
              </c:strCache>
            </c:strRef>
          </c:cat>
          <c:val>
            <c:numRef>
              <c:f>'2016'!$B$36:$I$36</c:f>
              <c:numCache>
                <c:ptCount val="8"/>
                <c:pt idx="0">
                  <c:v>9.000000</c:v>
                </c:pt>
                <c:pt idx="1">
                  <c:v>19.000000</c:v>
                </c:pt>
                <c:pt idx="2">
                  <c:v>10.000000</c:v>
                </c:pt>
                <c:pt idx="3">
                  <c:v>13.000000</c:v>
                </c:pt>
                <c:pt idx="4">
                  <c:v>12.000000</c:v>
                </c:pt>
                <c:pt idx="5">
                  <c:v>19.000000</c:v>
                </c:pt>
                <c:pt idx="6">
                  <c:v>8.000000</c:v>
                </c:pt>
                <c:pt idx="7">
                  <c:v>21.000000</c:v>
                </c:pt>
              </c:numCache>
            </c:numRef>
          </c:val>
        </c:ser>
        <c:gapWidth val="150"/>
        <c:overlap val="0"/>
        <c:axId val="2094734552"/>
        <c:axId val="2094734553"/>
      </c:barChart>
      <c:catAx>
        <c:axId val="2094734552"/>
        <c:scaling>
          <c:orientation val="minMax"/>
        </c:scaling>
        <c:delete val="0"/>
        <c:axPos val="b"/>
        <c:numFmt formatCode="General" sourceLinked="1"/>
        <c:majorTickMark val="out"/>
        <c:minorTickMark val="none"/>
        <c:tickLblPos val="low"/>
        <c:spPr>
          <a:ln w="12700" cap="flat">
            <a:solidFill>
              <a:srgbClr val="888888"/>
            </a:solidFill>
            <a:prstDash val="solid"/>
            <a:round/>
          </a:ln>
        </c:spPr>
        <c:txPr>
          <a:bodyPr rot="0"/>
          <a:lstStyle/>
          <a:p>
            <a:pPr>
              <a:defRPr b="0" i="0" strike="noStrike" sz="1000" u="none">
                <a:solidFill>
                  <a:srgbClr val="000000"/>
                </a:solidFill>
                <a:latin typeface="Calibri"/>
              </a:defRPr>
            </a:pPr>
          </a:p>
        </c:txPr>
        <c:crossAx val="2094734553"/>
        <c:crosses val="autoZero"/>
        <c:auto val="1"/>
        <c:lblAlgn val="ctr"/>
        <c:noMultiLvlLbl val="1"/>
      </c:catAx>
      <c:valAx>
        <c:axId val="2094734553"/>
        <c:scaling>
          <c:orientation val="minMax"/>
        </c:scaling>
        <c:delete val="0"/>
        <c:axPos val="l"/>
        <c:majorGridlines>
          <c:spPr>
            <a:ln w="12700" cap="flat">
              <a:solidFill>
                <a:srgbClr val="888888"/>
              </a:solidFill>
              <a:prstDash val="solid"/>
              <a:round/>
            </a:ln>
          </c:spPr>
        </c:majorGridlines>
        <c:numFmt formatCode="General" sourceLinked="1"/>
        <c:majorTickMark val="out"/>
        <c:minorTickMark val="none"/>
        <c:tickLblPos val="nextTo"/>
        <c:spPr>
          <a:ln w="12700" cap="flat">
            <a:solidFill>
              <a:srgbClr val="888888"/>
            </a:solidFill>
            <a:prstDash val="solid"/>
            <a:round/>
          </a:ln>
        </c:spPr>
        <c:txPr>
          <a:bodyPr rot="0"/>
          <a:lstStyle/>
          <a:p>
            <a:pPr>
              <a:defRPr b="0" i="0" strike="noStrike" sz="1000" u="none">
                <a:solidFill>
                  <a:srgbClr val="000000"/>
                </a:solidFill>
                <a:latin typeface="Calibri"/>
              </a:defRPr>
            </a:pPr>
          </a:p>
        </c:txPr>
        <c:crossAx val="2094734552"/>
        <c:crosses val="autoZero"/>
        <c:crossBetween val="between"/>
        <c:majorUnit val="27.5"/>
        <c:minorUnit val="13.75"/>
      </c:valAx>
      <c:spPr>
        <a:solidFill>
          <a:srgbClr val="FFFFFF"/>
        </a:solidFill>
        <a:ln w="12700" cap="flat">
          <a:noFill/>
          <a:miter lim="400000"/>
        </a:ln>
        <a:effectLst/>
      </c:spPr>
    </c:plotArea>
    <c:legend>
      <c:legendPos val="r"/>
      <c:layout>
        <c:manualLayout>
          <c:xMode val="edge"/>
          <c:yMode val="edge"/>
          <c:x val="0.797607"/>
          <c:y val="0.389282"/>
          <c:w val="0.202393"/>
          <c:h val="0.205609"/>
        </c:manualLayout>
      </c:layout>
      <c:overlay val="1"/>
      <c:spPr>
        <a:noFill/>
        <a:ln w="12700" cap="flat">
          <a:noFill/>
          <a:miter lim="400000"/>
        </a:ln>
        <a:effectLst/>
      </c:spPr>
      <c:txPr>
        <a:bodyPr rot="0"/>
        <a:lstStyle/>
        <a:p>
          <a:pPr>
            <a:defRPr b="0" i="0" strike="noStrike" sz="1000" u="none">
              <a:solidFill>
                <a:srgbClr val="000000"/>
              </a:solidFill>
              <a:latin typeface="Calibri"/>
            </a:defRPr>
          </a:pPr>
        </a:p>
      </c:txPr>
    </c:legend>
    <c:plotVisOnly val="1"/>
    <c:dispBlanksAs val="gap"/>
  </c:chart>
  <c:spPr>
    <a:solidFill>
      <a:srgbClr val="FFFFFF"/>
    </a:solidFill>
    <a:ln w="12700" cap="flat">
      <a:solidFill>
        <a:srgbClr val="888888"/>
      </a:solidFill>
      <a:prstDash val="solid"/>
      <a:round/>
    </a:ln>
    <a:effectLst/>
  </c:spPr>
</c:chartSpace>
</file>

<file path=xl/charts/chart12.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648351"/>
          <c:y val="0.0678553"/>
          <c:w val="0.686005"/>
          <c:h val="0.822988"/>
        </c:manualLayout>
      </c:layout>
      <c:barChart>
        <c:barDir val="col"/>
        <c:grouping val="clustered"/>
        <c:varyColors val="0"/>
        <c:ser>
          <c:idx val="0"/>
          <c:order val="0"/>
          <c:tx>
            <c:strRef>
              <c:f>'2016'!$A$40</c:f>
              <c:strCache>
                <c:ptCount val="1"/>
                <c:pt idx="0">
                  <c:v>TIMOTEOS</c:v>
                </c:pt>
              </c:strCache>
            </c:strRef>
          </c:tx>
          <c:spPr>
            <a:gradFill flip="none" rotWithShape="1">
              <a:gsLst>
                <a:gs pos="0">
                  <a:srgbClr val="3F80CE"/>
                </a:gs>
                <a:gs pos="100000">
                  <a:schemeClr val="accent1">
                    <a:hueOff val="357503"/>
                    <a:satOff val="54545"/>
                    <a:lumOff val="29273"/>
                  </a:schemeClr>
                </a:gs>
              </a:gsLst>
              <a:lin ang="16200000" scaled="0"/>
            </a:gradFill>
            <a:ln w="12700" cap="flat">
              <a:noFill/>
              <a:miter lim="400000"/>
            </a:ln>
            <a:effectLst>
              <a:outerShdw sx="100000" sy="100000" kx="0" ky="0" algn="tl" rotWithShape="1" blurRad="38100" dist="23000" dir="5400000">
                <a:srgbClr val="000000">
                  <a:alpha val="35000"/>
                </a:srgbClr>
              </a:outerShdw>
            </a:effectLst>
          </c:spPr>
          <c:invertIfNegative val="0"/>
          <c:dLbls>
            <c:numFmt formatCode="General" sourceLinked="1"/>
            <c:txPr>
              <a:bodyPr/>
              <a:lstStyle/>
              <a:p>
                <a:pPr>
                  <a:defRPr b="0" i="0" strike="noStrike" sz="1000" u="none">
                    <a:solidFill>
                      <a:srgbClr val="000000"/>
                    </a:solidFill>
                    <a:latin typeface="Calibri"/>
                  </a:defRPr>
                </a:pPr>
              </a:p>
            </c:txPr>
            <c:dLblPos val="outEnd"/>
            <c:showLegendKey val="0"/>
            <c:showVal val="1"/>
            <c:showCatName val="0"/>
            <c:showSerName val="0"/>
            <c:showPercent val="0"/>
            <c:showBubbleSize val="0"/>
            <c:showLeaderLines val="0"/>
          </c:dLbls>
          <c:cat>
            <c:strRef>
              <c:f>'2016'!$B$39:$I$39</c:f>
              <c:strCache>
                <c:ptCount val="8"/>
                <c:pt idx="0">
                  <c:v>ENERO</c:v>
                </c:pt>
                <c:pt idx="1">
                  <c:v>FEBRERO</c:v>
                </c:pt>
                <c:pt idx="2">
                  <c:v>MARZO</c:v>
                </c:pt>
                <c:pt idx="3">
                  <c:v>ABRIL</c:v>
                </c:pt>
                <c:pt idx="4">
                  <c:v>MAYO</c:v>
                </c:pt>
                <c:pt idx="5">
                  <c:v>JUNIO</c:v>
                </c:pt>
                <c:pt idx="6">
                  <c:v>JULIO</c:v>
                </c:pt>
                <c:pt idx="7">
                  <c:v>AGOSTO</c:v>
                </c:pt>
              </c:strCache>
            </c:strRef>
          </c:cat>
          <c:val>
            <c:numRef>
              <c:f>'2016'!$B$40:$I$40</c:f>
              <c:numCache>
                <c:ptCount val="8"/>
                <c:pt idx="0">
                  <c:v>201.000000</c:v>
                </c:pt>
                <c:pt idx="1">
                  <c:v>210.000000</c:v>
                </c:pt>
                <c:pt idx="2">
                  <c:v>178.000000</c:v>
                </c:pt>
                <c:pt idx="3">
                  <c:v>211.000000</c:v>
                </c:pt>
                <c:pt idx="4">
                  <c:v>217.000000</c:v>
                </c:pt>
                <c:pt idx="5">
                  <c:v>201.000000</c:v>
                </c:pt>
                <c:pt idx="6">
                  <c:v>230.000000</c:v>
                </c:pt>
                <c:pt idx="7">
                  <c:v>240.000000</c:v>
                </c:pt>
              </c:numCache>
            </c:numRef>
          </c:val>
        </c:ser>
        <c:ser>
          <c:idx val="1"/>
          <c:order val="1"/>
          <c:tx>
            <c:strRef>
              <c:f>'2016'!$A$41</c:f>
              <c:strCache>
                <c:ptCount val="1"/>
                <c:pt idx="0">
                  <c:v>CASADOS</c:v>
                </c:pt>
              </c:strCache>
            </c:strRef>
          </c:tx>
          <c:spPr>
            <a:gradFill flip="none" rotWithShape="1">
              <a:gsLst>
                <a:gs pos="0">
                  <a:srgbClr val="D1403C"/>
                </a:gs>
                <a:gs pos="100000">
                  <a:schemeClr val="accent2">
                    <a:hueOff val="-39879"/>
                    <a:satOff val="52282"/>
                    <a:lumOff val="29251"/>
                  </a:schemeClr>
                </a:gs>
              </a:gsLst>
              <a:lin ang="16200000" scaled="0"/>
            </a:gradFill>
            <a:ln w="12700" cap="flat">
              <a:noFill/>
              <a:miter lim="400000"/>
            </a:ln>
            <a:effectLst>
              <a:outerShdw sx="100000" sy="100000" kx="0" ky="0" algn="tl" rotWithShape="1" blurRad="38100" dist="23000" dir="5400000">
                <a:srgbClr val="000000">
                  <a:alpha val="35000"/>
                </a:srgbClr>
              </a:outerShdw>
            </a:effectLst>
          </c:spPr>
          <c:invertIfNegative val="0"/>
          <c:dLbls>
            <c:numFmt formatCode="#,##0" sourceLinked="1"/>
            <c:txPr>
              <a:bodyPr/>
              <a:lstStyle/>
              <a:p>
                <a:pPr>
                  <a:defRPr b="0" i="0" strike="noStrike" sz="1000" u="none">
                    <a:solidFill>
                      <a:srgbClr val="000000"/>
                    </a:solidFill>
                    <a:latin typeface="Calibri"/>
                  </a:defRPr>
                </a:pPr>
              </a:p>
            </c:txPr>
            <c:dLblPos val="outEnd"/>
            <c:showLegendKey val="0"/>
            <c:showVal val="1"/>
            <c:showCatName val="0"/>
            <c:showSerName val="0"/>
            <c:showPercent val="0"/>
            <c:showBubbleSize val="0"/>
            <c:showLeaderLines val="0"/>
          </c:dLbls>
          <c:cat>
            <c:strRef>
              <c:f>'2016'!$B$39:$I$39</c:f>
              <c:strCache>
                <c:ptCount val="8"/>
                <c:pt idx="0">
                  <c:v>ENERO</c:v>
                </c:pt>
                <c:pt idx="1">
                  <c:v>FEBRERO</c:v>
                </c:pt>
                <c:pt idx="2">
                  <c:v>MARZO</c:v>
                </c:pt>
                <c:pt idx="3">
                  <c:v>ABRIL</c:v>
                </c:pt>
                <c:pt idx="4">
                  <c:v>MAYO</c:v>
                </c:pt>
                <c:pt idx="5">
                  <c:v>JUNIO</c:v>
                </c:pt>
                <c:pt idx="6">
                  <c:v>JULIO</c:v>
                </c:pt>
                <c:pt idx="7">
                  <c:v>AGOSTO</c:v>
                </c:pt>
              </c:strCache>
            </c:strRef>
          </c:cat>
          <c:val>
            <c:numRef>
              <c:f>'2016'!$B$41:$I$41</c:f>
              <c:numCache>
                <c:ptCount val="7"/>
                <c:pt idx="1">
                  <c:v>195.500000</c:v>
                </c:pt>
                <c:pt idx="2">
                  <c:v>110.000000</c:v>
                </c:pt>
                <c:pt idx="3">
                  <c:v>141.000000</c:v>
                </c:pt>
                <c:pt idx="4">
                  <c:v>169.500000</c:v>
                </c:pt>
                <c:pt idx="5">
                  <c:v>143.000000</c:v>
                </c:pt>
                <c:pt idx="6">
                  <c:v>191.500000</c:v>
                </c:pt>
                <c:pt idx="7">
                  <c:v>148.000000</c:v>
                </c:pt>
              </c:numCache>
            </c:numRef>
          </c:val>
        </c:ser>
        <c:ser>
          <c:idx val="2"/>
          <c:order val="2"/>
          <c:tx>
            <c:strRef>
              <c:f>'2016'!$A$42</c:f>
              <c:strCache>
                <c:ptCount val="1"/>
                <c:pt idx="0">
                  <c:v>HOMBRES</c:v>
                </c:pt>
              </c:strCache>
            </c:strRef>
          </c:tx>
          <c:spPr>
            <a:gradFill flip="none" rotWithShape="1">
              <a:gsLst>
                <a:gs pos="0">
                  <a:srgbClr val="A0CA4A"/>
                </a:gs>
                <a:gs pos="100000">
                  <a:srgbClr val="DAFFA3"/>
                </a:gs>
              </a:gsLst>
              <a:lin ang="16200000" scaled="0"/>
            </a:gradFill>
            <a:ln w="12700" cap="flat">
              <a:noFill/>
              <a:miter lim="400000"/>
            </a:ln>
            <a:effectLst>
              <a:outerShdw sx="100000" sy="100000" kx="0" ky="0" algn="tl" rotWithShape="1" blurRad="38100" dist="23000" dir="5400000">
                <a:srgbClr val="000000">
                  <a:alpha val="35000"/>
                </a:srgbClr>
              </a:outerShdw>
            </a:effectLst>
          </c:spPr>
          <c:invertIfNegative val="0"/>
          <c:dLbls>
            <c:numFmt formatCode="General" sourceLinked="1"/>
            <c:txPr>
              <a:bodyPr/>
              <a:lstStyle/>
              <a:p>
                <a:pPr>
                  <a:defRPr b="0" i="0" strike="noStrike" sz="1000" u="none">
                    <a:solidFill>
                      <a:srgbClr val="000000"/>
                    </a:solidFill>
                    <a:latin typeface="Calibri"/>
                  </a:defRPr>
                </a:pPr>
              </a:p>
            </c:txPr>
            <c:dLblPos val="outEnd"/>
            <c:showLegendKey val="0"/>
            <c:showVal val="1"/>
            <c:showCatName val="0"/>
            <c:showSerName val="0"/>
            <c:showPercent val="0"/>
            <c:showBubbleSize val="0"/>
            <c:showLeaderLines val="0"/>
          </c:dLbls>
          <c:cat>
            <c:strRef>
              <c:f>'2016'!$B$39:$I$39</c:f>
              <c:strCache>
                <c:ptCount val="8"/>
                <c:pt idx="0">
                  <c:v>ENERO</c:v>
                </c:pt>
                <c:pt idx="1">
                  <c:v>FEBRERO</c:v>
                </c:pt>
                <c:pt idx="2">
                  <c:v>MARZO</c:v>
                </c:pt>
                <c:pt idx="3">
                  <c:v>ABRIL</c:v>
                </c:pt>
                <c:pt idx="4">
                  <c:v>MAYO</c:v>
                </c:pt>
                <c:pt idx="5">
                  <c:v>JUNIO</c:v>
                </c:pt>
                <c:pt idx="6">
                  <c:v>JULIO</c:v>
                </c:pt>
                <c:pt idx="7">
                  <c:v>AGOSTO</c:v>
                </c:pt>
              </c:strCache>
            </c:strRef>
          </c:cat>
          <c:val>
            <c:numRef>
              <c:f>'2016'!$B$42:$I$42</c:f>
              <c:numCache>
                <c:ptCount val="8"/>
                <c:pt idx="0">
                  <c:v>56.000000</c:v>
                </c:pt>
                <c:pt idx="1">
                  <c:v>56.000000</c:v>
                </c:pt>
                <c:pt idx="2">
                  <c:v>56.000000</c:v>
                </c:pt>
                <c:pt idx="3">
                  <c:v>56.000000</c:v>
                </c:pt>
                <c:pt idx="4">
                  <c:v>56.000000</c:v>
                </c:pt>
                <c:pt idx="5">
                  <c:v>56.000000</c:v>
                </c:pt>
                <c:pt idx="6">
                  <c:v>56.000000</c:v>
                </c:pt>
                <c:pt idx="7">
                  <c:v>56.000000</c:v>
                </c:pt>
              </c:numCache>
            </c:numRef>
          </c:val>
        </c:ser>
        <c:ser>
          <c:idx val="3"/>
          <c:order val="3"/>
          <c:tx>
            <c:strRef>
              <c:f>'2016'!$A$43</c:f>
              <c:strCache>
                <c:ptCount val="1"/>
                <c:pt idx="0">
                  <c:v>MUJER INTEGRAL</c:v>
                </c:pt>
              </c:strCache>
            </c:strRef>
          </c:tx>
          <c:spPr>
            <a:gradFill flip="none" rotWithShape="1">
              <a:gsLst>
                <a:gs pos="0">
                  <a:srgbClr val="7F5BAB"/>
                </a:gs>
                <a:gs pos="100000">
                  <a:srgbClr val="C7AEED"/>
                </a:gs>
              </a:gsLst>
              <a:lin ang="16200000" scaled="0"/>
            </a:gradFill>
            <a:ln w="12700" cap="flat">
              <a:noFill/>
              <a:miter lim="400000"/>
            </a:ln>
            <a:effectLst>
              <a:outerShdw sx="100000" sy="100000" kx="0" ky="0" algn="tl" rotWithShape="1" blurRad="38100" dist="23000" dir="5400000">
                <a:srgbClr val="000000">
                  <a:alpha val="35000"/>
                </a:srgbClr>
              </a:outerShdw>
            </a:effectLst>
          </c:spPr>
          <c:invertIfNegative val="0"/>
          <c:dLbls>
            <c:numFmt formatCode="General" sourceLinked="1"/>
            <c:txPr>
              <a:bodyPr/>
              <a:lstStyle/>
              <a:p>
                <a:pPr>
                  <a:defRPr b="0" i="0" strike="noStrike" sz="1000" u="none">
                    <a:solidFill>
                      <a:srgbClr val="000000"/>
                    </a:solidFill>
                    <a:latin typeface="Calibri"/>
                  </a:defRPr>
                </a:pPr>
              </a:p>
            </c:txPr>
            <c:dLblPos val="outEnd"/>
            <c:showLegendKey val="0"/>
            <c:showVal val="1"/>
            <c:showCatName val="0"/>
            <c:showSerName val="0"/>
            <c:showPercent val="0"/>
            <c:showBubbleSize val="0"/>
            <c:showLeaderLines val="0"/>
          </c:dLbls>
          <c:cat>
            <c:strRef>
              <c:f>'2016'!$B$39:$I$39</c:f>
              <c:strCache>
                <c:ptCount val="8"/>
                <c:pt idx="0">
                  <c:v>ENERO</c:v>
                </c:pt>
                <c:pt idx="1">
                  <c:v>FEBRERO</c:v>
                </c:pt>
                <c:pt idx="2">
                  <c:v>MARZO</c:v>
                </c:pt>
                <c:pt idx="3">
                  <c:v>ABRIL</c:v>
                </c:pt>
                <c:pt idx="4">
                  <c:v>MAYO</c:v>
                </c:pt>
                <c:pt idx="5">
                  <c:v>JUNIO</c:v>
                </c:pt>
                <c:pt idx="6">
                  <c:v>JULIO</c:v>
                </c:pt>
                <c:pt idx="7">
                  <c:v>AGOSTO</c:v>
                </c:pt>
              </c:strCache>
            </c:strRef>
          </c:cat>
          <c:val>
            <c:numRef>
              <c:f>'2016'!$B$43:$I$43</c:f>
              <c:numCache>
                <c:ptCount val="7"/>
                <c:pt idx="1">
                  <c:v>118.000000</c:v>
                </c:pt>
                <c:pt idx="2">
                  <c:v>105.000000</c:v>
                </c:pt>
                <c:pt idx="3">
                  <c:v>120.000000</c:v>
                </c:pt>
                <c:pt idx="4">
                  <c:v>103.000000</c:v>
                </c:pt>
                <c:pt idx="5">
                  <c:v>127.000000</c:v>
                </c:pt>
                <c:pt idx="6">
                  <c:v>130.000000</c:v>
                </c:pt>
                <c:pt idx="7">
                  <c:v>113.000000</c:v>
                </c:pt>
              </c:numCache>
            </c:numRef>
          </c:val>
        </c:ser>
        <c:gapWidth val="150"/>
        <c:overlap val="0"/>
        <c:axId val="2094734552"/>
        <c:axId val="2094734553"/>
      </c:barChart>
      <c:catAx>
        <c:axId val="2094734552"/>
        <c:scaling>
          <c:orientation val="minMax"/>
        </c:scaling>
        <c:delete val="0"/>
        <c:axPos val="b"/>
        <c:numFmt formatCode="General" sourceLinked="1"/>
        <c:majorTickMark val="out"/>
        <c:minorTickMark val="none"/>
        <c:tickLblPos val="low"/>
        <c:spPr>
          <a:ln w="12700" cap="flat">
            <a:solidFill>
              <a:srgbClr val="888888"/>
            </a:solidFill>
            <a:prstDash val="solid"/>
            <a:round/>
          </a:ln>
        </c:spPr>
        <c:txPr>
          <a:bodyPr rot="0"/>
          <a:lstStyle/>
          <a:p>
            <a:pPr>
              <a:defRPr b="0" i="0" strike="noStrike" sz="1000" u="none">
                <a:solidFill>
                  <a:srgbClr val="000000"/>
                </a:solidFill>
                <a:latin typeface="Calibri"/>
              </a:defRPr>
            </a:pPr>
          </a:p>
        </c:txPr>
        <c:crossAx val="2094734553"/>
        <c:crosses val="autoZero"/>
        <c:auto val="1"/>
        <c:lblAlgn val="ctr"/>
        <c:noMultiLvlLbl val="1"/>
      </c:catAx>
      <c:valAx>
        <c:axId val="2094734553"/>
        <c:scaling>
          <c:orientation val="minMax"/>
        </c:scaling>
        <c:delete val="0"/>
        <c:axPos val="l"/>
        <c:majorGridlines>
          <c:spPr>
            <a:ln w="12700" cap="flat">
              <a:solidFill>
                <a:srgbClr val="888888"/>
              </a:solidFill>
              <a:prstDash val="solid"/>
              <a:round/>
            </a:ln>
          </c:spPr>
        </c:majorGridlines>
        <c:numFmt formatCode="General" sourceLinked="1"/>
        <c:majorTickMark val="out"/>
        <c:minorTickMark val="none"/>
        <c:tickLblPos val="nextTo"/>
        <c:spPr>
          <a:ln w="12700" cap="flat">
            <a:solidFill>
              <a:srgbClr val="888888"/>
            </a:solidFill>
            <a:prstDash val="solid"/>
            <a:round/>
          </a:ln>
        </c:spPr>
        <c:txPr>
          <a:bodyPr rot="0"/>
          <a:lstStyle/>
          <a:p>
            <a:pPr>
              <a:defRPr b="0" i="0" strike="noStrike" sz="1000" u="none">
                <a:solidFill>
                  <a:srgbClr val="000000"/>
                </a:solidFill>
                <a:latin typeface="Calibri"/>
              </a:defRPr>
            </a:pPr>
          </a:p>
        </c:txPr>
        <c:crossAx val="2094734552"/>
        <c:crosses val="autoZero"/>
        <c:crossBetween val="between"/>
        <c:majorUnit val="60"/>
        <c:minorUnit val="30"/>
      </c:valAx>
      <c:spPr>
        <a:solidFill>
          <a:srgbClr val="FFFFFF"/>
        </a:solidFill>
        <a:ln w="12700" cap="flat">
          <a:noFill/>
          <a:miter lim="400000"/>
        </a:ln>
        <a:effectLst/>
      </c:spPr>
    </c:plotArea>
    <c:legend>
      <c:legendPos val="r"/>
      <c:layout>
        <c:manualLayout>
          <c:xMode val="edge"/>
          <c:yMode val="edge"/>
          <c:x val="0.783445"/>
          <c:y val="0.394204"/>
          <c:w val="0.216555"/>
          <c:h val="0.263851"/>
        </c:manualLayout>
      </c:layout>
      <c:overlay val="1"/>
      <c:spPr>
        <a:noFill/>
        <a:ln w="12700" cap="flat">
          <a:noFill/>
          <a:miter lim="400000"/>
        </a:ln>
        <a:effectLst/>
      </c:spPr>
      <c:txPr>
        <a:bodyPr rot="0"/>
        <a:lstStyle/>
        <a:p>
          <a:pPr>
            <a:defRPr b="0" i="0" strike="noStrike" sz="1000" u="none">
              <a:solidFill>
                <a:srgbClr val="000000"/>
              </a:solidFill>
              <a:latin typeface="Calibri"/>
            </a:defRPr>
          </a:pPr>
        </a:p>
      </c:txPr>
    </c:legend>
    <c:plotVisOnly val="1"/>
    <c:dispBlanksAs val="gap"/>
  </c:chart>
  <c:spPr>
    <a:solidFill>
      <a:srgbClr val="FFFFFF"/>
    </a:solidFill>
    <a:ln w="12700" cap="flat">
      <a:solidFill>
        <a:srgbClr val="888888"/>
      </a:solidFill>
      <a:prstDash val="solid"/>
      <a:round/>
    </a:ln>
    <a:effectLst/>
  </c:spPr>
</c:chartSpace>
</file>

<file path=xl/charts/chart13.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1" i="0" strike="noStrike" sz="1800" u="none">
                <a:solidFill>
                  <a:srgbClr val="000000"/>
                </a:solidFill>
                <a:latin typeface="Calibri"/>
              </a:defRPr>
            </a:pPr>
            <a:r>
              <a:rPr b="1" i="0" strike="noStrike" sz="1800" u="none">
                <a:solidFill>
                  <a:srgbClr val="000000"/>
                </a:solidFill>
                <a:latin typeface="Calibri"/>
              </a:rPr>
              <a:t>PART. M. CONGREGACIONALES</a:t>
            </a:r>
          </a:p>
        </c:rich>
      </c:tx>
      <c:layout>
        <c:manualLayout>
          <c:xMode val="edge"/>
          <c:yMode val="edge"/>
          <c:x val="0.116182"/>
          <c:y val="0"/>
          <c:w val="0.439318"/>
          <c:h val="0.157082"/>
        </c:manualLayout>
      </c:layout>
      <c:overlay val="1"/>
      <c:spPr>
        <a:noFill/>
        <a:effectLst/>
      </c:spPr>
    </c:title>
    <c:autoTitleDeleted val="1"/>
    <c:plotArea>
      <c:layout>
        <c:manualLayout>
          <c:layoutTarget val="inner"/>
          <c:xMode val="edge"/>
          <c:yMode val="edge"/>
          <c:x val="0.075655"/>
          <c:y val="0.157082"/>
          <c:w val="0.596026"/>
          <c:h val="0.743014"/>
        </c:manualLayout>
      </c:layout>
      <c:barChart>
        <c:barDir val="col"/>
        <c:grouping val="clustered"/>
        <c:varyColors val="0"/>
        <c:ser>
          <c:idx val="0"/>
          <c:order val="0"/>
          <c:tx>
            <c:strRef>
              <c:f>'2016'!$A$50</c:f>
              <c:strCache>
                <c:ptCount val="1"/>
                <c:pt idx="0">
                  <c:v>PART. M. CONGREGACIONALES</c:v>
                </c:pt>
              </c:strCache>
            </c:strRef>
          </c:tx>
          <c:spPr>
            <a:gradFill flip="none" rotWithShape="1">
              <a:gsLst>
                <a:gs pos="0">
                  <a:srgbClr val="3F80CE"/>
                </a:gs>
                <a:gs pos="100000">
                  <a:schemeClr val="accent1">
                    <a:hueOff val="357503"/>
                    <a:satOff val="54545"/>
                    <a:lumOff val="29273"/>
                  </a:schemeClr>
                </a:gs>
              </a:gsLst>
              <a:lin ang="16200000" scaled="0"/>
            </a:gradFill>
            <a:ln w="12700" cap="flat">
              <a:noFill/>
              <a:miter lim="400000"/>
            </a:ln>
            <a:effectLst>
              <a:outerShdw sx="100000" sy="100000" kx="0" ky="0" algn="tl" rotWithShape="1" blurRad="38100" dist="23000" dir="5400000">
                <a:srgbClr val="000000">
                  <a:alpha val="35000"/>
                </a:srgbClr>
              </a:outerShdw>
            </a:effectLst>
          </c:spPr>
          <c:invertIfNegative val="0"/>
          <c:dLbls>
            <c:numFmt formatCode="0.0%" sourceLinked="0"/>
            <c:txPr>
              <a:bodyPr/>
              <a:lstStyle/>
              <a:p>
                <a:pPr>
                  <a:defRPr b="0" i="0" strike="noStrike" sz="1000" u="none">
                    <a:solidFill>
                      <a:srgbClr val="000000"/>
                    </a:solidFill>
                    <a:latin typeface="Calibri"/>
                  </a:defRPr>
                </a:pPr>
              </a:p>
            </c:txPr>
            <c:dLblPos val="outEnd"/>
            <c:showLegendKey val="0"/>
            <c:showVal val="1"/>
            <c:showCatName val="0"/>
            <c:showSerName val="0"/>
            <c:showPercent val="0"/>
            <c:showBubbleSize val="0"/>
            <c:showLeaderLines val="0"/>
          </c:dLbls>
          <c:cat>
            <c:strRef>
              <c:f>'2016'!$B$49:$F$49</c:f>
              <c:strCache>
                <c:ptCount val="5"/>
                <c:pt idx="0">
                  <c:v>ENERO</c:v>
                </c:pt>
                <c:pt idx="1">
                  <c:v>FEBRERO</c:v>
                </c:pt>
                <c:pt idx="2">
                  <c:v>MARZO</c:v>
                </c:pt>
                <c:pt idx="3">
                  <c:v>ABRIL</c:v>
                </c:pt>
                <c:pt idx="4">
                  <c:v>MAYO</c:v>
                </c:pt>
              </c:strCache>
            </c:strRef>
          </c:cat>
          <c:val>
            <c:numRef>
              <c:f>'2016'!$B$50:$F$50</c:f>
              <c:numCache>
                <c:ptCount val="5"/>
                <c:pt idx="0">
                  <c:v>0.343124</c:v>
                </c:pt>
                <c:pt idx="1">
                  <c:v>0.496740</c:v>
                </c:pt>
                <c:pt idx="2">
                  <c:v>0.425942</c:v>
                </c:pt>
                <c:pt idx="3">
                  <c:v>0.644144</c:v>
                </c:pt>
                <c:pt idx="4">
                  <c:v>0.582423</c:v>
                </c:pt>
              </c:numCache>
            </c:numRef>
          </c:val>
        </c:ser>
        <c:gapWidth val="150"/>
        <c:overlap val="0"/>
        <c:axId val="2094734552"/>
        <c:axId val="2094734553"/>
      </c:barChart>
      <c:catAx>
        <c:axId val="2094734552"/>
        <c:scaling>
          <c:orientation val="minMax"/>
        </c:scaling>
        <c:delete val="0"/>
        <c:axPos val="b"/>
        <c:numFmt formatCode="0.0%" sourceLinked="1"/>
        <c:majorTickMark val="out"/>
        <c:minorTickMark val="none"/>
        <c:tickLblPos val="low"/>
        <c:spPr>
          <a:ln w="12700" cap="flat">
            <a:solidFill>
              <a:srgbClr val="888888"/>
            </a:solidFill>
            <a:prstDash val="solid"/>
            <a:round/>
          </a:ln>
        </c:spPr>
        <c:txPr>
          <a:bodyPr rot="0"/>
          <a:lstStyle/>
          <a:p>
            <a:pPr>
              <a:defRPr b="0" i="0" strike="noStrike" sz="1000" u="none">
                <a:solidFill>
                  <a:srgbClr val="000000"/>
                </a:solidFill>
                <a:latin typeface="Calibri"/>
              </a:defRPr>
            </a:pPr>
          </a:p>
        </c:txPr>
        <c:crossAx val="2094734553"/>
        <c:crosses val="autoZero"/>
        <c:auto val="1"/>
        <c:lblAlgn val="ctr"/>
        <c:noMultiLvlLbl val="1"/>
      </c:catAx>
      <c:valAx>
        <c:axId val="2094734553"/>
        <c:scaling>
          <c:orientation val="minMax"/>
        </c:scaling>
        <c:delete val="0"/>
        <c:axPos val="l"/>
        <c:majorGridlines>
          <c:spPr>
            <a:ln w="12700" cap="flat">
              <a:solidFill>
                <a:srgbClr val="888888"/>
              </a:solidFill>
              <a:prstDash val="solid"/>
              <a:round/>
            </a:ln>
          </c:spPr>
        </c:majorGridlines>
        <c:numFmt formatCode="0.0%" sourceLinked="1"/>
        <c:majorTickMark val="out"/>
        <c:minorTickMark val="none"/>
        <c:tickLblPos val="nextTo"/>
        <c:spPr>
          <a:ln w="12700" cap="flat">
            <a:solidFill>
              <a:srgbClr val="888888"/>
            </a:solidFill>
            <a:prstDash val="solid"/>
            <a:round/>
          </a:ln>
        </c:spPr>
        <c:txPr>
          <a:bodyPr rot="0"/>
          <a:lstStyle/>
          <a:p>
            <a:pPr>
              <a:defRPr b="0" i="0" strike="noStrike" sz="1000" u="none">
                <a:solidFill>
                  <a:srgbClr val="000000"/>
                </a:solidFill>
                <a:latin typeface="Calibri"/>
              </a:defRPr>
            </a:pPr>
          </a:p>
        </c:txPr>
        <c:crossAx val="2094734552"/>
        <c:crosses val="autoZero"/>
        <c:crossBetween val="between"/>
        <c:majorUnit val="0.175"/>
        <c:minorUnit val="0.0875"/>
      </c:valAx>
      <c:spPr>
        <a:solidFill>
          <a:srgbClr val="FFFFFF"/>
        </a:solidFill>
        <a:ln w="12700" cap="flat">
          <a:noFill/>
          <a:miter lim="400000"/>
        </a:ln>
        <a:effectLst/>
      </c:spPr>
    </c:plotArea>
    <c:legend>
      <c:legendPos val="r"/>
      <c:layout>
        <c:manualLayout>
          <c:xMode val="edge"/>
          <c:yMode val="edge"/>
          <c:x val="0.700849"/>
          <c:y val="0.451594"/>
          <c:w val="0.299151"/>
          <c:h val="0.0789969"/>
        </c:manualLayout>
      </c:layout>
      <c:overlay val="1"/>
      <c:spPr>
        <a:noFill/>
        <a:ln w="12700" cap="flat">
          <a:noFill/>
          <a:miter lim="400000"/>
        </a:ln>
        <a:effectLst/>
      </c:spPr>
      <c:txPr>
        <a:bodyPr rot="0"/>
        <a:lstStyle/>
        <a:p>
          <a:pPr>
            <a:defRPr b="0" i="0" strike="noStrike" sz="1000" u="none">
              <a:solidFill>
                <a:srgbClr val="000000"/>
              </a:solidFill>
              <a:latin typeface="Calibri"/>
            </a:defRPr>
          </a:pPr>
        </a:p>
      </c:txPr>
    </c:legend>
    <c:plotVisOnly val="1"/>
    <c:dispBlanksAs val="gap"/>
  </c:chart>
  <c:spPr>
    <a:solidFill>
      <a:srgbClr val="FFFFFF"/>
    </a:solidFill>
    <a:ln w="12700" cap="flat">
      <a:solidFill>
        <a:srgbClr val="888888"/>
      </a:solidFill>
      <a:prstDash val="solid"/>
      <a:round/>
    </a:ln>
    <a:effectLst/>
  </c:spPr>
</c:chartSpace>
</file>

<file path=xl/charts/chart14.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4325"/>
          <c:y val="0.0602029"/>
          <c:w val="0.578338"/>
          <c:h val="0.829847"/>
        </c:manualLayout>
      </c:layout>
      <c:barChart>
        <c:barDir val="col"/>
        <c:grouping val="clustered"/>
        <c:varyColors val="0"/>
        <c:ser>
          <c:idx val="0"/>
          <c:order val="0"/>
          <c:tx>
            <c:strRef>
              <c:f>'2016'!$A$26</c:f>
              <c:strCache>
                <c:ptCount val="1"/>
                <c:pt idx="0">
                  <c:v>ASISTENTES DOMINGO (*)</c:v>
                </c:pt>
              </c:strCache>
            </c:strRef>
          </c:tx>
          <c:spPr>
            <a:gradFill flip="none" rotWithShape="1">
              <a:gsLst>
                <a:gs pos="0">
                  <a:srgbClr val="3F80CE"/>
                </a:gs>
                <a:gs pos="100000">
                  <a:schemeClr val="accent1">
                    <a:hueOff val="357503"/>
                    <a:satOff val="54545"/>
                    <a:lumOff val="29273"/>
                  </a:schemeClr>
                </a:gs>
              </a:gsLst>
              <a:lin ang="16200000" scaled="0"/>
            </a:gradFill>
            <a:ln w="12700" cap="flat">
              <a:noFill/>
              <a:miter lim="400000"/>
            </a:ln>
            <a:effectLst>
              <a:outerShdw sx="100000" sy="100000" kx="0" ky="0" algn="tl" rotWithShape="1" blurRad="38100" dist="23000" dir="5400000">
                <a:srgbClr val="000000">
                  <a:alpha val="35000"/>
                </a:srgbClr>
              </a:outerShdw>
            </a:effectLst>
          </c:spPr>
          <c:invertIfNegative val="0"/>
          <c:dLbls>
            <c:numFmt formatCode="&quot; &quot;#,##0&quot; &quot;;&quot;-&quot;#,##0&quot; &quot;;&quot; '- &quot;" sourceLinked="0"/>
            <c:txPr>
              <a:bodyPr/>
              <a:lstStyle/>
              <a:p>
                <a:pPr>
                  <a:defRPr b="0" i="0" strike="noStrike" sz="1000" u="none">
                    <a:solidFill>
                      <a:srgbClr val="000000"/>
                    </a:solidFill>
                    <a:latin typeface="Calibri"/>
                  </a:defRPr>
                </a:pPr>
              </a:p>
            </c:txPr>
            <c:dLblPos val="outEnd"/>
            <c:showLegendKey val="0"/>
            <c:showVal val="1"/>
            <c:showCatName val="0"/>
            <c:showSerName val="0"/>
            <c:showPercent val="0"/>
            <c:showBubbleSize val="0"/>
            <c:showLeaderLines val="0"/>
          </c:dLbls>
          <c:cat>
            <c:strRef>
              <c:f>'2016'!$B$25:$I$25</c:f>
              <c:strCache>
                <c:ptCount val="8"/>
                <c:pt idx="0">
                  <c:v>ENERO</c:v>
                </c:pt>
                <c:pt idx="1">
                  <c:v>FEBRERO</c:v>
                </c:pt>
                <c:pt idx="2">
                  <c:v>MARZO</c:v>
                </c:pt>
                <c:pt idx="3">
                  <c:v>ABRIL</c:v>
                </c:pt>
                <c:pt idx="4">
                  <c:v>MAYO</c:v>
                </c:pt>
                <c:pt idx="5">
                  <c:v>JUNIO</c:v>
                </c:pt>
                <c:pt idx="6">
                  <c:v>JULIO</c:v>
                </c:pt>
                <c:pt idx="7">
                  <c:v>AGOSTO</c:v>
                </c:pt>
              </c:strCache>
            </c:strRef>
          </c:cat>
          <c:val>
            <c:numRef>
              <c:f>'2016'!$B$26:$I$26</c:f>
              <c:numCache>
                <c:ptCount val="8"/>
                <c:pt idx="0">
                  <c:v>749.000000</c:v>
                </c:pt>
                <c:pt idx="1">
                  <c:v>1227.000000</c:v>
                </c:pt>
                <c:pt idx="2">
                  <c:v>1141.000000</c:v>
                </c:pt>
                <c:pt idx="3">
                  <c:v>888.000000</c:v>
                </c:pt>
                <c:pt idx="4">
                  <c:v>1007.000000</c:v>
                </c:pt>
                <c:pt idx="5">
                  <c:v>1038.000000</c:v>
                </c:pt>
                <c:pt idx="6">
                  <c:v>1156.000000</c:v>
                </c:pt>
                <c:pt idx="7">
                  <c:v>1171.000000</c:v>
                </c:pt>
              </c:numCache>
            </c:numRef>
          </c:val>
        </c:ser>
        <c:ser>
          <c:idx val="1"/>
          <c:order val="1"/>
          <c:tx>
            <c:strRef>
              <c:f>'2016'!$A$27</c:f>
              <c:strCache>
                <c:ptCount val="1"/>
                <c:pt idx="0">
                  <c:v>ASISTENTES MIERCOLES</c:v>
                </c:pt>
              </c:strCache>
            </c:strRef>
          </c:tx>
          <c:spPr>
            <a:gradFill flip="none" rotWithShape="1">
              <a:gsLst>
                <a:gs pos="0">
                  <a:srgbClr val="D1403C"/>
                </a:gs>
                <a:gs pos="100000">
                  <a:schemeClr val="accent2">
                    <a:hueOff val="-39879"/>
                    <a:satOff val="52282"/>
                    <a:lumOff val="29251"/>
                  </a:schemeClr>
                </a:gs>
              </a:gsLst>
              <a:lin ang="16200000" scaled="0"/>
            </a:gradFill>
            <a:ln w="12700" cap="flat">
              <a:noFill/>
              <a:miter lim="400000"/>
            </a:ln>
            <a:effectLst>
              <a:outerShdw sx="100000" sy="100000" kx="0" ky="0" algn="tl" rotWithShape="1" blurRad="38100" dist="23000" dir="5400000">
                <a:srgbClr val="000000">
                  <a:alpha val="35000"/>
                </a:srgbClr>
              </a:outerShdw>
            </a:effectLst>
          </c:spPr>
          <c:invertIfNegative val="0"/>
          <c:dLbls>
            <c:numFmt formatCode="&quot; &quot;#,##0&quot; &quot;;&quot;-&quot;#,##0&quot; &quot;;&quot; '- &quot;" sourceLinked="0"/>
            <c:txPr>
              <a:bodyPr/>
              <a:lstStyle/>
              <a:p>
                <a:pPr>
                  <a:defRPr b="0" i="0" strike="noStrike" sz="1000" u="none">
                    <a:solidFill>
                      <a:srgbClr val="000000"/>
                    </a:solidFill>
                    <a:latin typeface="Calibri"/>
                  </a:defRPr>
                </a:pPr>
              </a:p>
            </c:txPr>
            <c:dLblPos val="outEnd"/>
            <c:showLegendKey val="0"/>
            <c:showVal val="1"/>
            <c:showCatName val="0"/>
            <c:showSerName val="0"/>
            <c:showPercent val="0"/>
            <c:showBubbleSize val="0"/>
            <c:showLeaderLines val="0"/>
          </c:dLbls>
          <c:cat>
            <c:strRef>
              <c:f>'2016'!$B$25:$I$25</c:f>
              <c:strCache>
                <c:ptCount val="8"/>
                <c:pt idx="0">
                  <c:v>ENERO</c:v>
                </c:pt>
                <c:pt idx="1">
                  <c:v>FEBRERO</c:v>
                </c:pt>
                <c:pt idx="2">
                  <c:v>MARZO</c:v>
                </c:pt>
                <c:pt idx="3">
                  <c:v>ABRIL</c:v>
                </c:pt>
                <c:pt idx="4">
                  <c:v>MAYO</c:v>
                </c:pt>
                <c:pt idx="5">
                  <c:v>JUNIO</c:v>
                </c:pt>
                <c:pt idx="6">
                  <c:v>JULIO</c:v>
                </c:pt>
                <c:pt idx="7">
                  <c:v>AGOSTO</c:v>
                </c:pt>
              </c:strCache>
            </c:strRef>
          </c:cat>
          <c:val>
            <c:numRef>
              <c:f>'2016'!$B$27:$I$27</c:f>
              <c:numCache>
                <c:ptCount val="7"/>
                <c:pt idx="1">
                  <c:v>272.500000</c:v>
                </c:pt>
                <c:pt idx="2">
                  <c:v>88.800000</c:v>
                </c:pt>
                <c:pt idx="3">
                  <c:v>141.000000</c:v>
                </c:pt>
                <c:pt idx="4">
                  <c:v>92.000000</c:v>
                </c:pt>
                <c:pt idx="5">
                  <c:v>75.000000</c:v>
                </c:pt>
                <c:pt idx="6">
                  <c:v>131.000000</c:v>
                </c:pt>
                <c:pt idx="7">
                  <c:v>72.000000</c:v>
                </c:pt>
              </c:numCache>
            </c:numRef>
          </c:val>
        </c:ser>
        <c:ser>
          <c:idx val="2"/>
          <c:order val="2"/>
          <c:tx>
            <c:strRef>
              <c:f>'2016'!$A$28</c:f>
              <c:strCache>
                <c:ptCount val="1"/>
                <c:pt idx="0">
                  <c:v>ASISTENTES AYUNO</c:v>
                </c:pt>
              </c:strCache>
            </c:strRef>
          </c:tx>
          <c:spPr>
            <a:gradFill flip="none" rotWithShape="1">
              <a:gsLst>
                <a:gs pos="0">
                  <a:srgbClr val="A0CA4A"/>
                </a:gs>
                <a:gs pos="100000">
                  <a:srgbClr val="DAFFA3"/>
                </a:gs>
              </a:gsLst>
              <a:lin ang="16200000" scaled="0"/>
            </a:gradFill>
            <a:ln w="12700" cap="flat">
              <a:noFill/>
              <a:miter lim="400000"/>
            </a:ln>
            <a:effectLst>
              <a:outerShdw sx="100000" sy="100000" kx="0" ky="0" algn="tl" rotWithShape="1" blurRad="38100" dist="23000" dir="5400000">
                <a:srgbClr val="000000">
                  <a:alpha val="35000"/>
                </a:srgbClr>
              </a:outerShdw>
            </a:effectLst>
          </c:spPr>
          <c:invertIfNegative val="0"/>
          <c:dLbls>
            <c:numFmt formatCode="&quot; &quot;#,##0&quot; &quot;;&quot;-&quot;#,##0&quot; &quot;;&quot; '- &quot;" sourceLinked="0"/>
            <c:txPr>
              <a:bodyPr/>
              <a:lstStyle/>
              <a:p>
                <a:pPr>
                  <a:defRPr b="0" i="0" strike="noStrike" sz="1000" u="none">
                    <a:solidFill>
                      <a:srgbClr val="000000"/>
                    </a:solidFill>
                    <a:latin typeface="Calibri"/>
                  </a:defRPr>
                </a:pPr>
              </a:p>
            </c:txPr>
            <c:dLblPos val="outEnd"/>
            <c:showLegendKey val="0"/>
            <c:showVal val="1"/>
            <c:showCatName val="0"/>
            <c:showSerName val="0"/>
            <c:showPercent val="0"/>
            <c:showBubbleSize val="0"/>
            <c:showLeaderLines val="0"/>
          </c:dLbls>
          <c:cat>
            <c:strRef>
              <c:f>'2016'!$B$25:$I$25</c:f>
              <c:strCache>
                <c:ptCount val="8"/>
                <c:pt idx="0">
                  <c:v>ENERO</c:v>
                </c:pt>
                <c:pt idx="1">
                  <c:v>FEBRERO</c:v>
                </c:pt>
                <c:pt idx="2">
                  <c:v>MARZO</c:v>
                </c:pt>
                <c:pt idx="3">
                  <c:v>ABRIL</c:v>
                </c:pt>
                <c:pt idx="4">
                  <c:v>MAYO</c:v>
                </c:pt>
                <c:pt idx="5">
                  <c:v>JUNIO</c:v>
                </c:pt>
                <c:pt idx="6">
                  <c:v>JULIO</c:v>
                </c:pt>
                <c:pt idx="7">
                  <c:v>AGOSTO</c:v>
                </c:pt>
              </c:strCache>
            </c:strRef>
          </c:cat>
          <c:val>
            <c:numRef>
              <c:f>'2016'!$B$28:$I$28</c:f>
              <c:numCache>
                <c:ptCount val="5"/>
                <c:pt idx="0">
                  <c:v>336.000000</c:v>
                </c:pt>
                <c:pt idx="1">
                  <c:v>172.000000</c:v>
                </c:pt>
                <c:pt idx="2">
                  <c:v>155.000000</c:v>
                </c:pt>
                <c:pt idx="3">
                  <c:v>124.000000</c:v>
                </c:pt>
                <c:pt idx="4">
                  <c:v>164.000000</c:v>
                </c:pt>
              </c:numCache>
            </c:numRef>
          </c:val>
        </c:ser>
        <c:ser>
          <c:idx val="3"/>
          <c:order val="3"/>
          <c:tx>
            <c:strRef>
              <c:f>'2016'!$A$29</c:f>
              <c:strCache>
                <c:ptCount val="1"/>
                <c:pt idx="0">
                  <c:v>SOBRES DIEZMOS</c:v>
                </c:pt>
              </c:strCache>
            </c:strRef>
          </c:tx>
          <c:spPr>
            <a:gradFill flip="none" rotWithShape="1">
              <a:gsLst>
                <a:gs pos="0">
                  <a:srgbClr val="7F5BAB"/>
                </a:gs>
                <a:gs pos="100000">
                  <a:srgbClr val="C7AEED"/>
                </a:gs>
              </a:gsLst>
              <a:lin ang="16200000" scaled="0"/>
            </a:gradFill>
            <a:ln w="12700" cap="flat">
              <a:noFill/>
              <a:miter lim="400000"/>
            </a:ln>
            <a:effectLst>
              <a:outerShdw sx="100000" sy="100000" kx="0" ky="0" algn="tl" rotWithShape="1" blurRad="38100" dist="23000" dir="5400000">
                <a:srgbClr val="000000">
                  <a:alpha val="35000"/>
                </a:srgbClr>
              </a:outerShdw>
            </a:effectLst>
          </c:spPr>
          <c:invertIfNegative val="0"/>
          <c:dLbls>
            <c:numFmt formatCode="&quot; &quot;#,##0&quot; &quot;;&quot;-&quot;#,##0&quot; &quot;;&quot; '- &quot;" sourceLinked="0"/>
            <c:txPr>
              <a:bodyPr/>
              <a:lstStyle/>
              <a:p>
                <a:pPr>
                  <a:defRPr b="0" i="0" strike="noStrike" sz="1000" u="none">
                    <a:solidFill>
                      <a:srgbClr val="000000"/>
                    </a:solidFill>
                    <a:latin typeface="Calibri"/>
                  </a:defRPr>
                </a:pPr>
              </a:p>
            </c:txPr>
            <c:dLblPos val="outEnd"/>
            <c:showLegendKey val="0"/>
            <c:showVal val="1"/>
            <c:showCatName val="0"/>
            <c:showSerName val="0"/>
            <c:showPercent val="0"/>
            <c:showBubbleSize val="0"/>
            <c:showLeaderLines val="0"/>
          </c:dLbls>
          <c:cat>
            <c:strRef>
              <c:f>'2016'!$B$25:$I$25</c:f>
              <c:strCache>
                <c:ptCount val="8"/>
                <c:pt idx="0">
                  <c:v>ENERO</c:v>
                </c:pt>
                <c:pt idx="1">
                  <c:v>FEBRERO</c:v>
                </c:pt>
                <c:pt idx="2">
                  <c:v>MARZO</c:v>
                </c:pt>
                <c:pt idx="3">
                  <c:v>ABRIL</c:v>
                </c:pt>
                <c:pt idx="4">
                  <c:v>MAYO</c:v>
                </c:pt>
                <c:pt idx="5">
                  <c:v>JUNIO</c:v>
                </c:pt>
                <c:pt idx="6">
                  <c:v>JULIO</c:v>
                </c:pt>
                <c:pt idx="7">
                  <c:v>AGOSTO</c:v>
                </c:pt>
              </c:strCache>
            </c:strRef>
          </c:cat>
          <c:val>
            <c:numRef>
              <c:f>'2016'!$B$29:$I$29</c:f>
              <c:numCache>
                <c:ptCount val="8"/>
                <c:pt idx="0">
                  <c:v>770.000000</c:v>
                </c:pt>
                <c:pt idx="1">
                  <c:v>975.000000</c:v>
                </c:pt>
                <c:pt idx="2">
                  <c:v>1176.000000</c:v>
                </c:pt>
                <c:pt idx="3">
                  <c:v>916.000000</c:v>
                </c:pt>
                <c:pt idx="4">
                  <c:v>836.000000</c:v>
                </c:pt>
                <c:pt idx="5">
                  <c:v>898.000000</c:v>
                </c:pt>
                <c:pt idx="6">
                  <c:v>991.000000</c:v>
                </c:pt>
                <c:pt idx="7">
                  <c:v>1129.000000</c:v>
                </c:pt>
              </c:numCache>
            </c:numRef>
          </c:val>
        </c:ser>
        <c:gapWidth val="150"/>
        <c:overlap val="0"/>
        <c:axId val="2094734552"/>
        <c:axId val="2094734553"/>
      </c:barChart>
      <c:catAx>
        <c:axId val="2094734552"/>
        <c:scaling>
          <c:orientation val="minMax"/>
        </c:scaling>
        <c:delete val="0"/>
        <c:axPos val="b"/>
        <c:numFmt formatCode="&quot; &quot;* #,##0&quot; &quot;;&quot;-&quot;* #,##0&quot; &quot;;&quot; &quot;* &quot;- &quot;" sourceLinked="1"/>
        <c:majorTickMark val="out"/>
        <c:minorTickMark val="none"/>
        <c:tickLblPos val="low"/>
        <c:spPr>
          <a:ln w="12700" cap="flat">
            <a:solidFill>
              <a:srgbClr val="888888"/>
            </a:solidFill>
            <a:prstDash val="solid"/>
            <a:round/>
          </a:ln>
        </c:spPr>
        <c:txPr>
          <a:bodyPr rot="0"/>
          <a:lstStyle/>
          <a:p>
            <a:pPr>
              <a:defRPr b="0" i="0" strike="noStrike" sz="1000" u="none">
                <a:solidFill>
                  <a:srgbClr val="000000"/>
                </a:solidFill>
                <a:latin typeface="Calibri"/>
              </a:defRPr>
            </a:pPr>
          </a:p>
        </c:txPr>
        <c:crossAx val="2094734553"/>
        <c:crosses val="autoZero"/>
        <c:auto val="1"/>
        <c:lblAlgn val="ctr"/>
        <c:noMultiLvlLbl val="1"/>
      </c:catAx>
      <c:valAx>
        <c:axId val="2094734553"/>
        <c:scaling>
          <c:orientation val="minMax"/>
        </c:scaling>
        <c:delete val="0"/>
        <c:axPos val="l"/>
        <c:majorGridlines>
          <c:spPr>
            <a:ln w="12700" cap="flat">
              <a:solidFill>
                <a:srgbClr val="888888"/>
              </a:solidFill>
              <a:prstDash val="solid"/>
              <a:round/>
            </a:ln>
          </c:spPr>
        </c:majorGridlines>
        <c:numFmt formatCode="&quot; &quot;* #,##0&quot; &quot;;&quot;-&quot;* #,##0&quot; &quot;;&quot; &quot;* &quot;- &quot;" sourceLinked="1"/>
        <c:majorTickMark val="out"/>
        <c:minorTickMark val="none"/>
        <c:tickLblPos val="nextTo"/>
        <c:spPr>
          <a:ln w="12700" cap="flat">
            <a:solidFill>
              <a:srgbClr val="888888"/>
            </a:solidFill>
            <a:prstDash val="solid"/>
            <a:round/>
          </a:ln>
        </c:spPr>
        <c:txPr>
          <a:bodyPr rot="0"/>
          <a:lstStyle/>
          <a:p>
            <a:pPr>
              <a:defRPr b="0" i="0" strike="noStrike" sz="1000" u="none">
                <a:solidFill>
                  <a:srgbClr val="000000"/>
                </a:solidFill>
                <a:latin typeface="Calibri"/>
              </a:defRPr>
            </a:pPr>
          </a:p>
        </c:txPr>
        <c:crossAx val="2094734552"/>
        <c:crosses val="autoZero"/>
        <c:crossBetween val="between"/>
        <c:majorUnit val="350"/>
        <c:minorUnit val="175"/>
      </c:valAx>
      <c:spPr>
        <a:solidFill>
          <a:srgbClr val="FFFFFF"/>
        </a:solidFill>
        <a:ln w="12700" cap="flat">
          <a:noFill/>
          <a:miter lim="400000"/>
        </a:ln>
        <a:effectLst/>
      </c:spPr>
    </c:plotArea>
    <c:legend>
      <c:legendPos val="r"/>
      <c:layout>
        <c:manualLayout>
          <c:xMode val="edge"/>
          <c:yMode val="edge"/>
          <c:x val="0.74989"/>
          <c:y val="0.389282"/>
          <c:w val="0.25011"/>
          <c:h val="0.265812"/>
        </c:manualLayout>
      </c:layout>
      <c:overlay val="1"/>
      <c:spPr>
        <a:noFill/>
        <a:ln w="12700" cap="flat">
          <a:noFill/>
          <a:miter lim="400000"/>
        </a:ln>
        <a:effectLst/>
      </c:spPr>
      <c:txPr>
        <a:bodyPr rot="0"/>
        <a:lstStyle/>
        <a:p>
          <a:pPr>
            <a:defRPr b="0" i="0" strike="noStrike" sz="1000" u="none">
              <a:solidFill>
                <a:srgbClr val="000000"/>
              </a:solidFill>
              <a:latin typeface="Calibri"/>
            </a:defRPr>
          </a:pPr>
        </a:p>
      </c:txPr>
    </c:legend>
    <c:plotVisOnly val="1"/>
    <c:dispBlanksAs val="gap"/>
  </c:chart>
  <c:spPr>
    <a:solidFill>
      <a:srgbClr val="FFFFFF"/>
    </a:solidFill>
    <a:ln w="12700" cap="flat">
      <a:solidFill>
        <a:srgbClr val="888888"/>
      </a:solidFill>
      <a:prstDash val="solid"/>
      <a:round/>
    </a:ln>
    <a:effectLst/>
  </c:spPr>
</c:chartSpace>
</file>

<file path=xl/charts/chart15.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1" i="0" strike="noStrike" sz="1800" u="none">
                <a:solidFill>
                  <a:srgbClr val="000000"/>
                </a:solidFill>
                <a:latin typeface="Calibri"/>
              </a:defRPr>
            </a:pPr>
            <a:r>
              <a:rPr b="1" i="0" strike="noStrike" sz="1800" u="none">
                <a:solidFill>
                  <a:srgbClr val="000000"/>
                </a:solidFill>
                <a:latin typeface="Calibri"/>
              </a:rPr>
              <a:t>DIEZMOS</a:t>
            </a:r>
          </a:p>
        </c:rich>
      </c:tx>
      <c:layout>
        <c:manualLayout>
          <c:xMode val="edge"/>
          <c:yMode val="edge"/>
          <c:x val="0.355346"/>
          <c:y val="0"/>
          <c:w val="0.134024"/>
          <c:h val="0.157082"/>
        </c:manualLayout>
      </c:layout>
      <c:overlay val="1"/>
      <c:spPr>
        <a:noFill/>
        <a:effectLst/>
      </c:spPr>
    </c:title>
    <c:autoTitleDeleted val="1"/>
    <c:plotArea>
      <c:layout>
        <c:manualLayout>
          <c:layoutTarget val="inner"/>
          <c:xMode val="edge"/>
          <c:yMode val="edge"/>
          <c:x val="0.207635"/>
          <c:y val="0.157082"/>
          <c:w val="0.619148"/>
          <c:h val="0.743014"/>
        </c:manualLayout>
      </c:layout>
      <c:barChart>
        <c:barDir val="col"/>
        <c:grouping val="clustered"/>
        <c:varyColors val="0"/>
        <c:ser>
          <c:idx val="0"/>
          <c:order val="0"/>
          <c:tx>
            <c:strRef>
              <c:f>'2017'!$A$93</c:f>
              <c:strCache>
                <c:ptCount val="1"/>
                <c:pt idx="0">
                  <c:v>DIEZMOS</c:v>
                </c:pt>
              </c:strCache>
            </c:strRef>
          </c:tx>
          <c:spPr>
            <a:gradFill flip="none" rotWithShape="1">
              <a:gsLst>
                <a:gs pos="0">
                  <a:srgbClr val="3F80CE"/>
                </a:gs>
                <a:gs pos="100000">
                  <a:schemeClr val="accent1">
                    <a:hueOff val="357503"/>
                    <a:satOff val="54545"/>
                    <a:lumOff val="29273"/>
                  </a:schemeClr>
                </a:gs>
              </a:gsLst>
              <a:lin ang="16200000" scaled="0"/>
            </a:gradFill>
            <a:ln w="12700" cap="flat">
              <a:noFill/>
              <a:miter lim="400000"/>
            </a:ln>
            <a:effectLst>
              <a:outerShdw sx="100000" sy="100000" kx="0" ky="0" algn="tl" rotWithShape="1" blurRad="38100" dist="23000" dir="5400000">
                <a:srgbClr val="000000">
                  <a:alpha val="35000"/>
                </a:srgbClr>
              </a:outerShdw>
            </a:effectLst>
          </c:spPr>
          <c:invertIfNegative val="0"/>
          <c:dLbls>
            <c:numFmt formatCode="&quot; &quot;#,##0&quot; &quot;;&quot; '(&quot;#,##0);&quot; '-&quot;??&quot; &quot;" sourceLinked="0"/>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0"/>
          </c:dLbls>
          <c:cat>
            <c:strRef>
              <c:f>'2017'!$B$92:$J$92</c:f>
              <c:strCache>
                <c:ptCount val="9"/>
                <c:pt idx="0">
                  <c:v>ENERO</c:v>
                </c:pt>
                <c:pt idx="1">
                  <c:v>FEBRERO</c:v>
                </c:pt>
                <c:pt idx="2">
                  <c:v>MARZO</c:v>
                </c:pt>
                <c:pt idx="3">
                  <c:v>ABRIL</c:v>
                </c:pt>
                <c:pt idx="4">
                  <c:v>MAYO</c:v>
                </c:pt>
                <c:pt idx="5">
                  <c:v>JUNIO</c:v>
                </c:pt>
                <c:pt idx="6">
                  <c:v>JULIO</c:v>
                </c:pt>
                <c:pt idx="7">
                  <c:v>AGOSTO</c:v>
                </c:pt>
                <c:pt idx="8">
                  <c:v>SEPTIEMBRE</c:v>
                </c:pt>
              </c:strCache>
            </c:strRef>
          </c:cat>
          <c:val>
            <c:numRef>
              <c:f>'2017'!$B$93:$J$93</c:f>
              <c:numCache>
                <c:ptCount val="9"/>
                <c:pt idx="0">
                  <c:v>166008156.000000</c:v>
                </c:pt>
                <c:pt idx="1">
                  <c:v>156058956.000000</c:v>
                </c:pt>
                <c:pt idx="2">
                  <c:v>190219344.000000</c:v>
                </c:pt>
                <c:pt idx="3">
                  <c:v>194407406.000000</c:v>
                </c:pt>
                <c:pt idx="4">
                  <c:v>178325823.000000</c:v>
                </c:pt>
                <c:pt idx="5">
                  <c:v>199200014.000000</c:v>
                </c:pt>
                <c:pt idx="6">
                  <c:v>253195018.000000</c:v>
                </c:pt>
                <c:pt idx="7">
                  <c:v>145451262.000000</c:v>
                </c:pt>
                <c:pt idx="8">
                  <c:v>159741420.000000</c:v>
                </c:pt>
              </c:numCache>
            </c:numRef>
          </c:val>
        </c:ser>
        <c:gapWidth val="150"/>
        <c:overlap val="0"/>
        <c:axId val="2094734552"/>
        <c:axId val="2094734553"/>
      </c:barChart>
      <c:catAx>
        <c:axId val="2094734552"/>
        <c:scaling>
          <c:orientation val="minMax"/>
        </c:scaling>
        <c:delete val="0"/>
        <c:axPos val="b"/>
        <c:numFmt formatCode="&quot; &quot;* #,##0&quot; &quot;;&quot; &quot;* (#,##0);&quot; &quot;* &quot;-&quot;??&quot; &quot;" sourceLinked="1"/>
        <c:majorTickMark val="out"/>
        <c:minorTickMark val="none"/>
        <c:tickLblPos val="low"/>
        <c:spPr>
          <a:ln w="12700" cap="flat">
            <a:solidFill>
              <a:srgbClr val="888888"/>
            </a:solidFill>
            <a:prstDash val="solid"/>
            <a:round/>
          </a:ln>
        </c:spPr>
        <c:txPr>
          <a:bodyPr rot="0"/>
          <a:lstStyle/>
          <a:p>
            <a:pPr>
              <a:defRPr b="0" i="0" strike="noStrike" sz="1000" u="none">
                <a:solidFill>
                  <a:srgbClr val="000000"/>
                </a:solidFill>
                <a:latin typeface="Calibri"/>
              </a:defRPr>
            </a:pPr>
          </a:p>
        </c:txPr>
        <c:crossAx val="2094734553"/>
        <c:crosses val="autoZero"/>
        <c:auto val="1"/>
        <c:lblAlgn val="ctr"/>
        <c:noMultiLvlLbl val="1"/>
      </c:catAx>
      <c:valAx>
        <c:axId val="2094734553"/>
        <c:scaling>
          <c:orientation val="minMax"/>
        </c:scaling>
        <c:delete val="0"/>
        <c:axPos val="l"/>
        <c:majorGridlines>
          <c:spPr>
            <a:ln w="12700" cap="flat">
              <a:solidFill>
                <a:srgbClr val="888888"/>
              </a:solidFill>
              <a:prstDash val="solid"/>
              <a:round/>
            </a:ln>
          </c:spPr>
        </c:majorGridlines>
        <c:numFmt formatCode="&quot; &quot;* #,##0&quot; &quot;;&quot; &quot;* (#,##0);&quot; &quot;* &quot;-&quot;??&quot; &quot;" sourceLinked="1"/>
        <c:majorTickMark val="out"/>
        <c:minorTickMark val="none"/>
        <c:tickLblPos val="nextTo"/>
        <c:spPr>
          <a:ln w="12700" cap="flat">
            <a:solidFill>
              <a:srgbClr val="888888"/>
            </a:solidFill>
            <a:prstDash val="solid"/>
            <a:round/>
          </a:ln>
        </c:spPr>
        <c:txPr>
          <a:bodyPr rot="0"/>
          <a:lstStyle/>
          <a:p>
            <a:pPr>
              <a:defRPr b="0" i="0" strike="noStrike" sz="1000" u="none">
                <a:solidFill>
                  <a:srgbClr val="000000"/>
                </a:solidFill>
                <a:latin typeface="Calibri"/>
              </a:defRPr>
            </a:pPr>
          </a:p>
        </c:txPr>
        <c:crossAx val="2094734552"/>
        <c:crosses val="autoZero"/>
        <c:crossBetween val="between"/>
        <c:majorUnit val="6.5e+07"/>
        <c:minorUnit val="3.25e+07"/>
      </c:valAx>
      <c:spPr>
        <a:solidFill>
          <a:srgbClr val="FFFFFF"/>
        </a:solidFill>
        <a:ln w="12700" cap="flat">
          <a:noFill/>
          <a:miter lim="400000"/>
        </a:ln>
        <a:effectLst/>
      </c:spPr>
    </c:plotArea>
    <c:legend>
      <c:legendPos val="r"/>
      <c:layout>
        <c:manualLayout>
          <c:xMode val="edge"/>
          <c:yMode val="edge"/>
          <c:x val="0.85621"/>
          <c:y val="0.451594"/>
          <c:w val="0.14379"/>
          <c:h val="0.0789969"/>
        </c:manualLayout>
      </c:layout>
      <c:overlay val="1"/>
      <c:spPr>
        <a:noFill/>
        <a:ln w="12700" cap="flat">
          <a:noFill/>
          <a:miter lim="400000"/>
        </a:ln>
        <a:effectLst/>
      </c:spPr>
      <c:txPr>
        <a:bodyPr rot="0"/>
        <a:lstStyle/>
        <a:p>
          <a:pPr>
            <a:defRPr b="0" i="0" strike="noStrike" sz="1000" u="none">
              <a:solidFill>
                <a:srgbClr val="000000"/>
              </a:solidFill>
              <a:latin typeface="Calibri"/>
            </a:defRPr>
          </a:pPr>
        </a:p>
      </c:txPr>
    </c:legend>
    <c:plotVisOnly val="1"/>
    <c:dispBlanksAs val="gap"/>
  </c:chart>
  <c:spPr>
    <a:solidFill>
      <a:srgbClr val="FFFFFF"/>
    </a:solidFill>
    <a:ln w="12700" cap="flat">
      <a:solidFill>
        <a:srgbClr val="888888"/>
      </a:solidFill>
      <a:prstDash val="solid"/>
      <a:round/>
    </a:ln>
    <a:effectLst/>
  </c:spPr>
</c:chartSpace>
</file>

<file path=xl/charts/chart16.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669943"/>
          <c:y val="0.0602029"/>
          <c:w val="0.694973"/>
          <c:h val="0.829847"/>
        </c:manualLayout>
      </c:layout>
      <c:barChart>
        <c:barDir val="col"/>
        <c:grouping val="clustered"/>
        <c:varyColors val="0"/>
        <c:ser>
          <c:idx val="0"/>
          <c:order val="0"/>
          <c:tx>
            <c:strRef>
              <c:f>'2017'!$A$37</c:f>
              <c:strCache>
                <c:ptCount val="1"/>
                <c:pt idx="0">
                  <c:v>CONVERSIONES</c:v>
                </c:pt>
              </c:strCache>
            </c:strRef>
          </c:tx>
          <c:spPr>
            <a:gradFill flip="none" rotWithShape="1">
              <a:gsLst>
                <a:gs pos="0">
                  <a:srgbClr val="3F80CE"/>
                </a:gs>
                <a:gs pos="100000">
                  <a:schemeClr val="accent1">
                    <a:hueOff val="357503"/>
                    <a:satOff val="54545"/>
                    <a:lumOff val="29273"/>
                  </a:schemeClr>
                </a:gs>
              </a:gsLst>
              <a:lin ang="16200000" scaled="0"/>
            </a:gradFill>
            <a:ln w="12700" cap="flat">
              <a:noFill/>
              <a:miter lim="400000"/>
            </a:ln>
            <a:effectLst>
              <a:outerShdw sx="100000" sy="100000" kx="0" ky="0" algn="tl" rotWithShape="1" blurRad="38100" dist="23000" dir="5400000">
                <a:srgbClr val="000000">
                  <a:alpha val="35000"/>
                </a:srgbClr>
              </a:outerShdw>
            </a:effectLst>
          </c:spPr>
          <c:invertIfNegative val="0"/>
          <c:dLbls>
            <c:numFmt formatCode="General" sourceLinked="1"/>
            <c:txPr>
              <a:bodyPr/>
              <a:lstStyle/>
              <a:p>
                <a:pPr>
                  <a:defRPr b="0" i="0" strike="noStrike" sz="1000" u="none">
                    <a:solidFill>
                      <a:srgbClr val="000000"/>
                    </a:solidFill>
                    <a:latin typeface="Calibri"/>
                  </a:defRPr>
                </a:pPr>
              </a:p>
            </c:txPr>
            <c:dLblPos val="outEnd"/>
            <c:showLegendKey val="0"/>
            <c:showVal val="1"/>
            <c:showCatName val="0"/>
            <c:showSerName val="0"/>
            <c:showPercent val="0"/>
            <c:showBubbleSize val="0"/>
            <c:showLeaderLines val="0"/>
          </c:dLbls>
          <c:cat>
            <c:strRef>
              <c:f>'2017'!$B$36:$I$36</c:f>
              <c:strCache>
                <c:ptCount val="8"/>
                <c:pt idx="0">
                  <c:v>ENERO</c:v>
                </c:pt>
                <c:pt idx="1">
                  <c:v>FEBRERO</c:v>
                </c:pt>
                <c:pt idx="2">
                  <c:v>MARZO</c:v>
                </c:pt>
                <c:pt idx="3">
                  <c:v>ABRIL</c:v>
                </c:pt>
                <c:pt idx="4">
                  <c:v>MAYO</c:v>
                </c:pt>
                <c:pt idx="5">
                  <c:v>JUNIO</c:v>
                </c:pt>
                <c:pt idx="6">
                  <c:v>JULIO</c:v>
                </c:pt>
                <c:pt idx="7">
                  <c:v>AGOSTO</c:v>
                </c:pt>
              </c:strCache>
            </c:strRef>
          </c:cat>
          <c:val>
            <c:numRef>
              <c:f>'2017'!$B$37:$I$37</c:f>
              <c:numCache>
                <c:ptCount val="8"/>
                <c:pt idx="0">
                  <c:v>92.000000</c:v>
                </c:pt>
                <c:pt idx="1">
                  <c:v>113.000000</c:v>
                </c:pt>
                <c:pt idx="2">
                  <c:v>64.000000</c:v>
                </c:pt>
                <c:pt idx="3">
                  <c:v>90.000000</c:v>
                </c:pt>
                <c:pt idx="4">
                  <c:v>47.000000</c:v>
                </c:pt>
                <c:pt idx="5">
                  <c:v>56.000000</c:v>
                </c:pt>
                <c:pt idx="6">
                  <c:v>108.000000</c:v>
                </c:pt>
                <c:pt idx="7">
                  <c:v>41.000000</c:v>
                </c:pt>
              </c:numCache>
            </c:numRef>
          </c:val>
        </c:ser>
        <c:ser>
          <c:idx val="1"/>
          <c:order val="1"/>
          <c:tx>
            <c:strRef>
              <c:f>'2017'!$A$38</c:f>
              <c:strCache>
                <c:ptCount val="1"/>
                <c:pt idx="0">
                  <c:v>A.D.N.</c:v>
                </c:pt>
              </c:strCache>
            </c:strRef>
          </c:tx>
          <c:spPr>
            <a:gradFill flip="none" rotWithShape="1">
              <a:gsLst>
                <a:gs pos="0">
                  <a:srgbClr val="D1403C"/>
                </a:gs>
                <a:gs pos="100000">
                  <a:schemeClr val="accent2">
                    <a:hueOff val="-39879"/>
                    <a:satOff val="52282"/>
                    <a:lumOff val="29251"/>
                  </a:schemeClr>
                </a:gs>
              </a:gsLst>
              <a:lin ang="16200000" scaled="0"/>
            </a:gradFill>
            <a:ln w="12700" cap="flat">
              <a:noFill/>
              <a:miter lim="400000"/>
            </a:ln>
            <a:effectLst>
              <a:outerShdw sx="100000" sy="100000" kx="0" ky="0" algn="tl" rotWithShape="1" blurRad="38100" dist="23000" dir="5400000">
                <a:srgbClr val="000000">
                  <a:alpha val="35000"/>
                </a:srgbClr>
              </a:outerShdw>
            </a:effectLst>
          </c:spPr>
          <c:invertIfNegative val="0"/>
          <c:dLbls>
            <c:numFmt formatCode="#,##0" sourceLinked="1"/>
            <c:txPr>
              <a:bodyPr/>
              <a:lstStyle/>
              <a:p>
                <a:pPr>
                  <a:defRPr b="0" i="0" strike="noStrike" sz="1000" u="none">
                    <a:solidFill>
                      <a:srgbClr val="000000"/>
                    </a:solidFill>
                    <a:latin typeface="Calibri"/>
                  </a:defRPr>
                </a:pPr>
              </a:p>
            </c:txPr>
            <c:dLblPos val="outEnd"/>
            <c:showLegendKey val="0"/>
            <c:showVal val="1"/>
            <c:showCatName val="0"/>
            <c:showSerName val="0"/>
            <c:showPercent val="0"/>
            <c:showBubbleSize val="0"/>
            <c:showLeaderLines val="0"/>
          </c:dLbls>
          <c:cat>
            <c:strRef>
              <c:f>'2017'!$B$36:$I$36</c:f>
              <c:strCache>
                <c:ptCount val="8"/>
                <c:pt idx="0">
                  <c:v>ENERO</c:v>
                </c:pt>
                <c:pt idx="1">
                  <c:v>FEBRERO</c:v>
                </c:pt>
                <c:pt idx="2">
                  <c:v>MARZO</c:v>
                </c:pt>
                <c:pt idx="3">
                  <c:v>ABRIL</c:v>
                </c:pt>
                <c:pt idx="4">
                  <c:v>MAYO</c:v>
                </c:pt>
                <c:pt idx="5">
                  <c:v>JUNIO</c:v>
                </c:pt>
                <c:pt idx="6">
                  <c:v>JULIO</c:v>
                </c:pt>
                <c:pt idx="7">
                  <c:v>AGOSTO</c:v>
                </c:pt>
              </c:strCache>
            </c:strRef>
          </c:cat>
          <c:val>
            <c:numRef>
              <c:f>'2017'!$B$38:$I$38</c:f>
              <c:numCache>
                <c:ptCount val="7"/>
                <c:pt idx="1">
                  <c:v>31.000000</c:v>
                </c:pt>
                <c:pt idx="2">
                  <c:v>30.000000</c:v>
                </c:pt>
                <c:pt idx="3">
                  <c:v>20.000000</c:v>
                </c:pt>
                <c:pt idx="4">
                  <c:v>25.000000</c:v>
                </c:pt>
                <c:pt idx="5">
                  <c:v>22.000000</c:v>
                </c:pt>
                <c:pt idx="6">
                  <c:v>25.000000</c:v>
                </c:pt>
                <c:pt idx="7">
                  <c:v>26.000000</c:v>
                </c:pt>
              </c:numCache>
            </c:numRef>
          </c:val>
        </c:ser>
        <c:ser>
          <c:idx val="2"/>
          <c:order val="2"/>
          <c:tx>
            <c:strRef>
              <c:f>'2017'!$A$39</c:f>
              <c:strCache>
                <c:ptCount val="1"/>
                <c:pt idx="0">
                  <c:v>BAUTIZOS</c:v>
                </c:pt>
              </c:strCache>
            </c:strRef>
          </c:tx>
          <c:spPr>
            <a:gradFill flip="none" rotWithShape="1">
              <a:gsLst>
                <a:gs pos="0">
                  <a:srgbClr val="A0CA4A"/>
                </a:gs>
                <a:gs pos="100000">
                  <a:srgbClr val="DAFFA3"/>
                </a:gs>
              </a:gsLst>
              <a:lin ang="16200000" scaled="0"/>
            </a:gradFill>
            <a:ln w="12700" cap="flat">
              <a:noFill/>
              <a:miter lim="400000"/>
            </a:ln>
            <a:effectLst>
              <a:outerShdw sx="100000" sy="100000" kx="0" ky="0" algn="tl" rotWithShape="1" blurRad="38100" dist="23000" dir="5400000">
                <a:srgbClr val="000000">
                  <a:alpha val="35000"/>
                </a:srgbClr>
              </a:outerShdw>
            </a:effectLst>
          </c:spPr>
          <c:invertIfNegative val="0"/>
          <c:dLbls>
            <c:numFmt formatCode="General" sourceLinked="1"/>
            <c:txPr>
              <a:bodyPr/>
              <a:lstStyle/>
              <a:p>
                <a:pPr>
                  <a:defRPr b="0" i="0" strike="noStrike" sz="1000" u="none">
                    <a:solidFill>
                      <a:srgbClr val="000000"/>
                    </a:solidFill>
                    <a:latin typeface="Calibri"/>
                  </a:defRPr>
                </a:pPr>
              </a:p>
            </c:txPr>
            <c:dLblPos val="outEnd"/>
            <c:showLegendKey val="0"/>
            <c:showVal val="1"/>
            <c:showCatName val="0"/>
            <c:showSerName val="0"/>
            <c:showPercent val="0"/>
            <c:showBubbleSize val="0"/>
            <c:showLeaderLines val="0"/>
          </c:dLbls>
          <c:cat>
            <c:strRef>
              <c:f>'2017'!$B$36:$I$36</c:f>
              <c:strCache>
                <c:ptCount val="8"/>
                <c:pt idx="0">
                  <c:v>ENERO</c:v>
                </c:pt>
                <c:pt idx="1">
                  <c:v>FEBRERO</c:v>
                </c:pt>
                <c:pt idx="2">
                  <c:v>MARZO</c:v>
                </c:pt>
                <c:pt idx="3">
                  <c:v>ABRIL</c:v>
                </c:pt>
                <c:pt idx="4">
                  <c:v>MAYO</c:v>
                </c:pt>
                <c:pt idx="5">
                  <c:v>JUNIO</c:v>
                </c:pt>
                <c:pt idx="6">
                  <c:v>JULIO</c:v>
                </c:pt>
                <c:pt idx="7">
                  <c:v>AGOSTO</c:v>
                </c:pt>
              </c:strCache>
            </c:strRef>
          </c:cat>
          <c:val>
            <c:numRef>
              <c:f>'2017'!$B$39:$I$39</c:f>
              <c:numCache>
                <c:ptCount val="8"/>
                <c:pt idx="0">
                  <c:v>4.000000</c:v>
                </c:pt>
                <c:pt idx="1">
                  <c:v>2.000000</c:v>
                </c:pt>
                <c:pt idx="2">
                  <c:v>29.000000</c:v>
                </c:pt>
                <c:pt idx="3">
                  <c:v>25.000000</c:v>
                </c:pt>
                <c:pt idx="4">
                  <c:v>20.000000</c:v>
                </c:pt>
                <c:pt idx="5">
                  <c:v>13.000000</c:v>
                </c:pt>
                <c:pt idx="6">
                  <c:v>14.000000</c:v>
                </c:pt>
                <c:pt idx="7">
                  <c:v>22.000000</c:v>
                </c:pt>
              </c:numCache>
            </c:numRef>
          </c:val>
        </c:ser>
        <c:gapWidth val="150"/>
        <c:overlap val="0"/>
        <c:axId val="2094734552"/>
        <c:axId val="2094734553"/>
      </c:barChart>
      <c:catAx>
        <c:axId val="2094734552"/>
        <c:scaling>
          <c:orientation val="minMax"/>
        </c:scaling>
        <c:delete val="0"/>
        <c:axPos val="b"/>
        <c:numFmt formatCode="General" sourceLinked="1"/>
        <c:majorTickMark val="out"/>
        <c:minorTickMark val="none"/>
        <c:tickLblPos val="low"/>
        <c:spPr>
          <a:ln w="12700" cap="flat">
            <a:solidFill>
              <a:srgbClr val="888888"/>
            </a:solidFill>
            <a:prstDash val="solid"/>
            <a:round/>
          </a:ln>
        </c:spPr>
        <c:txPr>
          <a:bodyPr rot="0"/>
          <a:lstStyle/>
          <a:p>
            <a:pPr>
              <a:defRPr b="0" i="0" strike="noStrike" sz="1000" u="none">
                <a:solidFill>
                  <a:srgbClr val="000000"/>
                </a:solidFill>
                <a:latin typeface="Calibri"/>
              </a:defRPr>
            </a:pPr>
          </a:p>
        </c:txPr>
        <c:crossAx val="2094734553"/>
        <c:crosses val="autoZero"/>
        <c:auto val="1"/>
        <c:lblAlgn val="ctr"/>
        <c:noMultiLvlLbl val="1"/>
      </c:catAx>
      <c:valAx>
        <c:axId val="2094734553"/>
        <c:scaling>
          <c:orientation val="minMax"/>
        </c:scaling>
        <c:delete val="0"/>
        <c:axPos val="l"/>
        <c:majorGridlines>
          <c:spPr>
            <a:ln w="12700" cap="flat">
              <a:solidFill>
                <a:srgbClr val="888888"/>
              </a:solidFill>
              <a:prstDash val="solid"/>
              <a:round/>
            </a:ln>
          </c:spPr>
        </c:majorGridlines>
        <c:numFmt formatCode="General" sourceLinked="1"/>
        <c:majorTickMark val="out"/>
        <c:minorTickMark val="none"/>
        <c:tickLblPos val="nextTo"/>
        <c:spPr>
          <a:ln w="12700" cap="flat">
            <a:solidFill>
              <a:srgbClr val="888888"/>
            </a:solidFill>
            <a:prstDash val="solid"/>
            <a:round/>
          </a:ln>
        </c:spPr>
        <c:txPr>
          <a:bodyPr rot="0"/>
          <a:lstStyle/>
          <a:p>
            <a:pPr>
              <a:defRPr b="0" i="0" strike="noStrike" sz="1000" u="none">
                <a:solidFill>
                  <a:srgbClr val="000000"/>
                </a:solidFill>
                <a:latin typeface="Calibri"/>
              </a:defRPr>
            </a:pPr>
          </a:p>
        </c:txPr>
        <c:crossAx val="2094734552"/>
        <c:crosses val="autoZero"/>
        <c:crossBetween val="between"/>
        <c:majorUnit val="30"/>
        <c:minorUnit val="15"/>
      </c:valAx>
      <c:spPr>
        <a:solidFill>
          <a:srgbClr val="FFFFFF"/>
        </a:solidFill>
        <a:ln w="12700" cap="flat">
          <a:noFill/>
          <a:miter lim="400000"/>
        </a:ln>
        <a:effectLst/>
      </c:spPr>
    </c:plotArea>
    <c:legend>
      <c:legendPos val="r"/>
      <c:layout>
        <c:manualLayout>
          <c:xMode val="edge"/>
          <c:yMode val="edge"/>
          <c:x val="0.795977"/>
          <c:y val="0.389282"/>
          <c:w val="0.204023"/>
          <c:h val="0.205609"/>
        </c:manualLayout>
      </c:layout>
      <c:overlay val="1"/>
      <c:spPr>
        <a:noFill/>
        <a:ln w="12700" cap="flat">
          <a:noFill/>
          <a:miter lim="400000"/>
        </a:ln>
        <a:effectLst/>
      </c:spPr>
      <c:txPr>
        <a:bodyPr rot="0"/>
        <a:lstStyle/>
        <a:p>
          <a:pPr>
            <a:defRPr b="0" i="0" strike="noStrike" sz="1000" u="none">
              <a:solidFill>
                <a:srgbClr val="000000"/>
              </a:solidFill>
              <a:latin typeface="Calibri"/>
            </a:defRPr>
          </a:pPr>
        </a:p>
      </c:txPr>
    </c:legend>
    <c:plotVisOnly val="1"/>
    <c:dispBlanksAs val="gap"/>
  </c:chart>
  <c:spPr>
    <a:solidFill>
      <a:srgbClr val="FFFFFF"/>
    </a:solidFill>
    <a:ln w="12700" cap="flat">
      <a:solidFill>
        <a:srgbClr val="888888"/>
      </a:solidFill>
      <a:prstDash val="solid"/>
      <a:round/>
    </a:ln>
    <a:effectLst/>
  </c:spPr>
</c:chartSpace>
</file>

<file path=xl/charts/chart17.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648351"/>
          <c:y val="0.0602029"/>
          <c:w val="0.686005"/>
          <c:h val="0.829847"/>
        </c:manualLayout>
      </c:layout>
      <c:barChart>
        <c:barDir val="col"/>
        <c:grouping val="clustered"/>
        <c:varyColors val="0"/>
        <c:ser>
          <c:idx val="0"/>
          <c:order val="0"/>
          <c:tx>
            <c:strRef>
              <c:f>'2017'!$A$45</c:f>
              <c:strCache>
                <c:ptCount val="1"/>
                <c:pt idx="0">
                  <c:v>TIMOTEOS</c:v>
                </c:pt>
              </c:strCache>
            </c:strRef>
          </c:tx>
          <c:spPr>
            <a:gradFill flip="none" rotWithShape="1">
              <a:gsLst>
                <a:gs pos="0">
                  <a:srgbClr val="3F80CE"/>
                </a:gs>
                <a:gs pos="100000">
                  <a:schemeClr val="accent1">
                    <a:hueOff val="357503"/>
                    <a:satOff val="54545"/>
                    <a:lumOff val="29273"/>
                  </a:schemeClr>
                </a:gs>
              </a:gsLst>
              <a:lin ang="16200000" scaled="0"/>
            </a:gradFill>
            <a:ln w="12700" cap="flat">
              <a:noFill/>
              <a:miter lim="400000"/>
            </a:ln>
            <a:effectLst>
              <a:outerShdw sx="100000" sy="100000" kx="0" ky="0" algn="tl" rotWithShape="1" blurRad="38100" dist="23000" dir="5400000">
                <a:srgbClr val="000000">
                  <a:alpha val="35000"/>
                </a:srgbClr>
              </a:outerShdw>
            </a:effectLst>
          </c:spPr>
          <c:invertIfNegative val="0"/>
          <c:dLbls>
            <c:numFmt formatCode="#,##0" sourceLinked="1"/>
            <c:txPr>
              <a:bodyPr/>
              <a:lstStyle/>
              <a:p>
                <a:pPr>
                  <a:defRPr b="0" i="0" strike="noStrike" sz="1000" u="none">
                    <a:solidFill>
                      <a:srgbClr val="000000"/>
                    </a:solidFill>
                    <a:latin typeface="Calibri"/>
                  </a:defRPr>
                </a:pPr>
              </a:p>
            </c:txPr>
            <c:dLblPos val="outEnd"/>
            <c:showLegendKey val="0"/>
            <c:showVal val="1"/>
            <c:showCatName val="0"/>
            <c:showSerName val="0"/>
            <c:showPercent val="0"/>
            <c:showBubbleSize val="0"/>
            <c:showLeaderLines val="0"/>
          </c:dLbls>
          <c:cat>
            <c:strRef>
              <c:f>'2017'!$B$44:$I$44</c:f>
              <c:strCache>
                <c:ptCount val="8"/>
                <c:pt idx="0">
                  <c:v>ENERO</c:v>
                </c:pt>
                <c:pt idx="1">
                  <c:v>FEBRERO</c:v>
                </c:pt>
                <c:pt idx="2">
                  <c:v>MARZO</c:v>
                </c:pt>
                <c:pt idx="3">
                  <c:v>ABRIL</c:v>
                </c:pt>
                <c:pt idx="4">
                  <c:v>MAYO</c:v>
                </c:pt>
                <c:pt idx="5">
                  <c:v>JUNIO</c:v>
                </c:pt>
                <c:pt idx="6">
                  <c:v>JULIO</c:v>
                </c:pt>
                <c:pt idx="7">
                  <c:v>AGOSTO</c:v>
                </c:pt>
              </c:strCache>
            </c:strRef>
          </c:cat>
          <c:val>
            <c:numRef>
              <c:f>'2017'!$B$45:$I$45</c:f>
              <c:numCache>
                <c:ptCount val="6"/>
                <c:pt idx="1">
                  <c:v>300.000000</c:v>
                </c:pt>
                <c:pt idx="2">
                  <c:v>270.000000</c:v>
                </c:pt>
                <c:pt idx="3">
                  <c:v>234.000000</c:v>
                </c:pt>
                <c:pt idx="4">
                  <c:v>215.000000</c:v>
                </c:pt>
                <c:pt idx="5">
                  <c:v>211.000000</c:v>
                </c:pt>
                <c:pt idx="7">
                  <c:v>230.000000</c:v>
                </c:pt>
              </c:numCache>
            </c:numRef>
          </c:val>
        </c:ser>
        <c:ser>
          <c:idx val="1"/>
          <c:order val="1"/>
          <c:tx>
            <c:strRef>
              <c:f>'2017'!$A$46</c:f>
              <c:strCache>
                <c:ptCount val="1"/>
                <c:pt idx="0">
                  <c:v>CASADOS</c:v>
                </c:pt>
              </c:strCache>
            </c:strRef>
          </c:tx>
          <c:spPr>
            <a:gradFill flip="none" rotWithShape="1">
              <a:gsLst>
                <a:gs pos="0">
                  <a:srgbClr val="D1403C"/>
                </a:gs>
                <a:gs pos="100000">
                  <a:schemeClr val="accent2">
                    <a:hueOff val="-39879"/>
                    <a:satOff val="52282"/>
                    <a:lumOff val="29251"/>
                  </a:schemeClr>
                </a:gs>
              </a:gsLst>
              <a:lin ang="16200000" scaled="0"/>
            </a:gradFill>
            <a:ln w="12700" cap="flat">
              <a:noFill/>
              <a:miter lim="400000"/>
            </a:ln>
            <a:effectLst>
              <a:outerShdw sx="100000" sy="100000" kx="0" ky="0" algn="tl" rotWithShape="1" blurRad="38100" dist="23000" dir="5400000">
                <a:srgbClr val="000000">
                  <a:alpha val="35000"/>
                </a:srgbClr>
              </a:outerShdw>
            </a:effectLst>
          </c:spPr>
          <c:invertIfNegative val="0"/>
          <c:dLbls>
            <c:numFmt formatCode="#,##0" sourceLinked="1"/>
            <c:txPr>
              <a:bodyPr/>
              <a:lstStyle/>
              <a:p>
                <a:pPr>
                  <a:defRPr b="0" i="0" strike="noStrike" sz="1000" u="none">
                    <a:solidFill>
                      <a:srgbClr val="000000"/>
                    </a:solidFill>
                    <a:latin typeface="Calibri"/>
                  </a:defRPr>
                </a:pPr>
              </a:p>
            </c:txPr>
            <c:dLblPos val="outEnd"/>
            <c:showLegendKey val="0"/>
            <c:showVal val="1"/>
            <c:showCatName val="0"/>
            <c:showSerName val="0"/>
            <c:showPercent val="0"/>
            <c:showBubbleSize val="0"/>
            <c:showLeaderLines val="0"/>
          </c:dLbls>
          <c:cat>
            <c:strRef>
              <c:f>'2017'!$B$44:$I$44</c:f>
              <c:strCache>
                <c:ptCount val="8"/>
                <c:pt idx="0">
                  <c:v>ENERO</c:v>
                </c:pt>
                <c:pt idx="1">
                  <c:v>FEBRERO</c:v>
                </c:pt>
                <c:pt idx="2">
                  <c:v>MARZO</c:v>
                </c:pt>
                <c:pt idx="3">
                  <c:v>ABRIL</c:v>
                </c:pt>
                <c:pt idx="4">
                  <c:v>MAYO</c:v>
                </c:pt>
                <c:pt idx="5">
                  <c:v>JUNIO</c:v>
                </c:pt>
                <c:pt idx="6">
                  <c:v>JULIO</c:v>
                </c:pt>
                <c:pt idx="7">
                  <c:v>AGOSTO</c:v>
                </c:pt>
              </c:strCache>
            </c:strRef>
          </c:cat>
          <c:val>
            <c:numRef>
              <c:f>'2017'!$B$46:$I$46</c:f>
              <c:numCache>
                <c:ptCount val="1"/>
                <c:pt idx="5">
                  <c:v>249.000000</c:v>
                </c:pt>
              </c:numCache>
            </c:numRef>
          </c:val>
        </c:ser>
        <c:ser>
          <c:idx val="2"/>
          <c:order val="2"/>
          <c:tx>
            <c:strRef>
              <c:f>'2017'!$A$47</c:f>
              <c:strCache>
                <c:ptCount val="1"/>
                <c:pt idx="0">
                  <c:v>HOMBRES</c:v>
                </c:pt>
              </c:strCache>
            </c:strRef>
          </c:tx>
          <c:spPr>
            <a:gradFill flip="none" rotWithShape="1">
              <a:gsLst>
                <a:gs pos="0">
                  <a:srgbClr val="A0CA4A"/>
                </a:gs>
                <a:gs pos="100000">
                  <a:srgbClr val="DAFFA3"/>
                </a:gs>
              </a:gsLst>
              <a:lin ang="16200000" scaled="0"/>
            </a:gradFill>
            <a:ln w="12700" cap="flat">
              <a:noFill/>
              <a:miter lim="400000"/>
            </a:ln>
            <a:effectLst>
              <a:outerShdw sx="100000" sy="100000" kx="0" ky="0" algn="tl" rotWithShape="1" blurRad="38100" dist="23000" dir="5400000">
                <a:srgbClr val="000000">
                  <a:alpha val="35000"/>
                </a:srgbClr>
              </a:outerShdw>
            </a:effectLst>
          </c:spPr>
          <c:invertIfNegative val="0"/>
          <c:dLbls>
            <c:numFmt formatCode="#,##0" sourceLinked="1"/>
            <c:txPr>
              <a:bodyPr/>
              <a:lstStyle/>
              <a:p>
                <a:pPr>
                  <a:defRPr b="0" i="0" strike="noStrike" sz="1000" u="none">
                    <a:solidFill>
                      <a:srgbClr val="000000"/>
                    </a:solidFill>
                    <a:latin typeface="Calibri"/>
                  </a:defRPr>
                </a:pPr>
              </a:p>
            </c:txPr>
            <c:dLblPos val="outEnd"/>
            <c:showLegendKey val="0"/>
            <c:showVal val="1"/>
            <c:showCatName val="0"/>
            <c:showSerName val="0"/>
            <c:showPercent val="0"/>
            <c:showBubbleSize val="0"/>
            <c:showLeaderLines val="0"/>
          </c:dLbls>
          <c:cat>
            <c:strRef>
              <c:f>'2017'!$B$44:$I$44</c:f>
              <c:strCache>
                <c:ptCount val="8"/>
                <c:pt idx="0">
                  <c:v>ENERO</c:v>
                </c:pt>
                <c:pt idx="1">
                  <c:v>FEBRERO</c:v>
                </c:pt>
                <c:pt idx="2">
                  <c:v>MARZO</c:v>
                </c:pt>
                <c:pt idx="3">
                  <c:v>ABRIL</c:v>
                </c:pt>
                <c:pt idx="4">
                  <c:v>MAYO</c:v>
                </c:pt>
                <c:pt idx="5">
                  <c:v>JUNIO</c:v>
                </c:pt>
                <c:pt idx="6">
                  <c:v>JULIO</c:v>
                </c:pt>
                <c:pt idx="7">
                  <c:v>AGOSTO</c:v>
                </c:pt>
              </c:strCache>
            </c:strRef>
          </c:cat>
          <c:val>
            <c:numRef>
              <c:f>'2017'!$B$47:$I$47</c:f>
              <c:numCache>
                <c:ptCount val="3"/>
                <c:pt idx="5">
                  <c:v>30.000000</c:v>
                </c:pt>
                <c:pt idx="6">
                  <c:v>14.000000</c:v>
                </c:pt>
                <c:pt idx="7">
                  <c:v>16.000000</c:v>
                </c:pt>
              </c:numCache>
            </c:numRef>
          </c:val>
        </c:ser>
        <c:ser>
          <c:idx val="3"/>
          <c:order val="3"/>
          <c:tx>
            <c:strRef>
              <c:f>'2017'!$A$48</c:f>
              <c:strCache>
                <c:ptCount val="1"/>
                <c:pt idx="0">
                  <c:v>MUJER INTEGRAL</c:v>
                </c:pt>
              </c:strCache>
            </c:strRef>
          </c:tx>
          <c:spPr>
            <a:gradFill flip="none" rotWithShape="1">
              <a:gsLst>
                <a:gs pos="0">
                  <a:srgbClr val="7F5BAB"/>
                </a:gs>
                <a:gs pos="100000">
                  <a:srgbClr val="C7AEED"/>
                </a:gs>
              </a:gsLst>
              <a:lin ang="16200000" scaled="0"/>
            </a:gradFill>
            <a:ln w="12700" cap="flat">
              <a:noFill/>
              <a:miter lim="400000"/>
            </a:ln>
            <a:effectLst>
              <a:outerShdw sx="100000" sy="100000" kx="0" ky="0" algn="tl" rotWithShape="1" blurRad="38100" dist="23000" dir="5400000">
                <a:srgbClr val="000000">
                  <a:alpha val="35000"/>
                </a:srgbClr>
              </a:outerShdw>
            </a:effectLst>
          </c:spPr>
          <c:invertIfNegative val="0"/>
          <c:dLbls>
            <c:numFmt formatCode="General" sourceLinked="1"/>
            <c:txPr>
              <a:bodyPr/>
              <a:lstStyle/>
              <a:p>
                <a:pPr>
                  <a:defRPr b="0" i="0" strike="noStrike" sz="1000" u="none">
                    <a:solidFill>
                      <a:srgbClr val="000000"/>
                    </a:solidFill>
                    <a:latin typeface="Calibri"/>
                  </a:defRPr>
                </a:pPr>
              </a:p>
            </c:txPr>
            <c:dLblPos val="outEnd"/>
            <c:showLegendKey val="0"/>
            <c:showVal val="1"/>
            <c:showCatName val="0"/>
            <c:showSerName val="0"/>
            <c:showPercent val="0"/>
            <c:showBubbleSize val="0"/>
            <c:showLeaderLines val="0"/>
          </c:dLbls>
          <c:cat>
            <c:strRef>
              <c:f>'2017'!$B$44:$I$44</c:f>
              <c:strCache>
                <c:ptCount val="8"/>
                <c:pt idx="0">
                  <c:v>ENERO</c:v>
                </c:pt>
                <c:pt idx="1">
                  <c:v>FEBRERO</c:v>
                </c:pt>
                <c:pt idx="2">
                  <c:v>MARZO</c:v>
                </c:pt>
                <c:pt idx="3">
                  <c:v>ABRIL</c:v>
                </c:pt>
                <c:pt idx="4">
                  <c:v>MAYO</c:v>
                </c:pt>
                <c:pt idx="5">
                  <c:v>JUNIO</c:v>
                </c:pt>
                <c:pt idx="6">
                  <c:v>JULIO</c:v>
                </c:pt>
                <c:pt idx="7">
                  <c:v>AGOSTO</c:v>
                </c:pt>
              </c:strCache>
            </c:strRef>
          </c:cat>
          <c:val>
            <c:numRef>
              <c:f>'2017'!$B$48:$I$48</c:f>
              <c:numCache>
                <c:ptCount val="3"/>
                <c:pt idx="1">
                  <c:v>490.000000</c:v>
                </c:pt>
                <c:pt idx="2">
                  <c:v>120.000000</c:v>
                </c:pt>
                <c:pt idx="5">
                  <c:v>138.000000</c:v>
                </c:pt>
              </c:numCache>
            </c:numRef>
          </c:val>
        </c:ser>
        <c:gapWidth val="150"/>
        <c:overlap val="0"/>
        <c:axId val="2094734552"/>
        <c:axId val="2094734553"/>
      </c:barChart>
      <c:catAx>
        <c:axId val="2094734552"/>
        <c:scaling>
          <c:orientation val="minMax"/>
        </c:scaling>
        <c:delete val="0"/>
        <c:axPos val="b"/>
        <c:numFmt formatCode="#,##0" sourceLinked="1"/>
        <c:majorTickMark val="out"/>
        <c:minorTickMark val="none"/>
        <c:tickLblPos val="low"/>
        <c:spPr>
          <a:ln w="12700" cap="flat">
            <a:solidFill>
              <a:srgbClr val="888888"/>
            </a:solidFill>
            <a:prstDash val="solid"/>
            <a:round/>
          </a:ln>
        </c:spPr>
        <c:txPr>
          <a:bodyPr rot="0"/>
          <a:lstStyle/>
          <a:p>
            <a:pPr>
              <a:defRPr b="0" i="0" strike="noStrike" sz="1000" u="none">
                <a:solidFill>
                  <a:srgbClr val="000000"/>
                </a:solidFill>
                <a:latin typeface="Calibri"/>
              </a:defRPr>
            </a:pPr>
          </a:p>
        </c:txPr>
        <c:crossAx val="2094734553"/>
        <c:crosses val="autoZero"/>
        <c:auto val="1"/>
        <c:lblAlgn val="ctr"/>
        <c:noMultiLvlLbl val="1"/>
      </c:catAx>
      <c:valAx>
        <c:axId val="2094734553"/>
        <c:scaling>
          <c:orientation val="minMax"/>
        </c:scaling>
        <c:delete val="0"/>
        <c:axPos val="l"/>
        <c:majorGridlines>
          <c:spPr>
            <a:ln w="12700" cap="flat">
              <a:solidFill>
                <a:srgbClr val="888888"/>
              </a:solidFill>
              <a:prstDash val="solid"/>
              <a:round/>
            </a:ln>
          </c:spPr>
        </c:majorGridlines>
        <c:numFmt formatCode="#,##0" sourceLinked="1"/>
        <c:majorTickMark val="out"/>
        <c:minorTickMark val="none"/>
        <c:tickLblPos val="nextTo"/>
        <c:spPr>
          <a:ln w="12700" cap="flat">
            <a:solidFill>
              <a:srgbClr val="888888"/>
            </a:solidFill>
            <a:prstDash val="solid"/>
            <a:round/>
          </a:ln>
        </c:spPr>
        <c:txPr>
          <a:bodyPr rot="0"/>
          <a:lstStyle/>
          <a:p>
            <a:pPr>
              <a:defRPr b="0" i="0" strike="noStrike" sz="1000" u="none">
                <a:solidFill>
                  <a:srgbClr val="000000"/>
                </a:solidFill>
                <a:latin typeface="Calibri"/>
              </a:defRPr>
            </a:pPr>
          </a:p>
        </c:txPr>
        <c:crossAx val="2094734552"/>
        <c:crosses val="autoZero"/>
        <c:crossBetween val="between"/>
        <c:majorUnit val="125"/>
        <c:minorUnit val="62.5"/>
      </c:valAx>
      <c:spPr>
        <a:solidFill>
          <a:srgbClr val="FFFFFF"/>
        </a:solidFill>
        <a:ln w="12700" cap="flat">
          <a:noFill/>
          <a:miter lim="400000"/>
        </a:ln>
        <a:effectLst/>
      </c:spPr>
    </c:plotArea>
    <c:legend>
      <c:legendPos val="r"/>
      <c:layout>
        <c:manualLayout>
          <c:xMode val="edge"/>
          <c:yMode val="edge"/>
          <c:x val="0.783445"/>
          <c:y val="0.389282"/>
          <c:w val="0.216555"/>
          <c:h val="0.265812"/>
        </c:manualLayout>
      </c:layout>
      <c:overlay val="1"/>
      <c:spPr>
        <a:noFill/>
        <a:ln w="12700" cap="flat">
          <a:noFill/>
          <a:miter lim="400000"/>
        </a:ln>
        <a:effectLst/>
      </c:spPr>
      <c:txPr>
        <a:bodyPr rot="0"/>
        <a:lstStyle/>
        <a:p>
          <a:pPr>
            <a:defRPr b="0" i="0" strike="noStrike" sz="1000" u="none">
              <a:solidFill>
                <a:srgbClr val="000000"/>
              </a:solidFill>
              <a:latin typeface="Calibri"/>
            </a:defRPr>
          </a:pPr>
        </a:p>
      </c:txPr>
    </c:legend>
    <c:plotVisOnly val="1"/>
    <c:dispBlanksAs val="gap"/>
  </c:chart>
  <c:spPr>
    <a:solidFill>
      <a:srgbClr val="FFFFFF"/>
    </a:solidFill>
    <a:ln w="12700" cap="flat">
      <a:solidFill>
        <a:srgbClr val="888888"/>
      </a:solidFill>
      <a:prstDash val="solid"/>
      <a:round/>
    </a:ln>
    <a:effectLst/>
  </c:spPr>
</c:chartSpace>
</file>

<file path=xl/charts/chart18.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1" i="0" strike="noStrike" sz="1800" u="none">
                <a:solidFill>
                  <a:srgbClr val="000000"/>
                </a:solidFill>
                <a:latin typeface="Calibri"/>
              </a:defRPr>
            </a:pPr>
            <a:r>
              <a:rPr b="1" i="0" strike="noStrike" sz="1800" u="none">
                <a:solidFill>
                  <a:srgbClr val="000000"/>
                </a:solidFill>
                <a:latin typeface="Calibri"/>
              </a:rPr>
              <a:t>PART. M. CONGREGACIONALES</a:t>
            </a:r>
          </a:p>
        </c:rich>
      </c:tx>
      <c:layout>
        <c:manualLayout>
          <c:xMode val="edge"/>
          <c:yMode val="edge"/>
          <c:x val="0.116182"/>
          <c:y val="0"/>
          <c:w val="0.439318"/>
          <c:h val="0.157082"/>
        </c:manualLayout>
      </c:layout>
      <c:overlay val="1"/>
      <c:spPr>
        <a:noFill/>
        <a:effectLst/>
      </c:spPr>
    </c:title>
    <c:autoTitleDeleted val="1"/>
    <c:plotArea>
      <c:layout>
        <c:manualLayout>
          <c:layoutTarget val="inner"/>
          <c:xMode val="edge"/>
          <c:yMode val="edge"/>
          <c:x val="0.075655"/>
          <c:y val="0.157082"/>
          <c:w val="0.596026"/>
          <c:h val="0.743014"/>
        </c:manualLayout>
      </c:layout>
      <c:barChart>
        <c:barDir val="col"/>
        <c:grouping val="clustered"/>
        <c:varyColors val="0"/>
        <c:ser>
          <c:idx val="0"/>
          <c:order val="0"/>
          <c:tx>
            <c:strRef>
              <c:f>'2017'!$A$69</c:f>
              <c:strCache>
                <c:ptCount val="1"/>
                <c:pt idx="0">
                  <c:v>PART. M. CONGREGACIONALES</c:v>
                </c:pt>
              </c:strCache>
            </c:strRef>
          </c:tx>
          <c:spPr>
            <a:gradFill flip="none" rotWithShape="1">
              <a:gsLst>
                <a:gs pos="0">
                  <a:srgbClr val="3F80CE"/>
                </a:gs>
                <a:gs pos="100000">
                  <a:schemeClr val="accent1">
                    <a:hueOff val="357503"/>
                    <a:satOff val="54545"/>
                    <a:lumOff val="29273"/>
                  </a:schemeClr>
                </a:gs>
              </a:gsLst>
              <a:lin ang="16200000" scaled="0"/>
            </a:gradFill>
            <a:ln w="12700" cap="flat">
              <a:noFill/>
              <a:miter lim="400000"/>
            </a:ln>
            <a:effectLst>
              <a:outerShdw sx="100000" sy="100000" kx="0" ky="0" algn="tl" rotWithShape="1" blurRad="38100" dist="23000" dir="5400000">
                <a:srgbClr val="000000">
                  <a:alpha val="35000"/>
                </a:srgbClr>
              </a:outerShdw>
            </a:effectLst>
          </c:spPr>
          <c:invertIfNegative val="0"/>
          <c:dLbls>
            <c:numFmt formatCode="0.0%" sourceLinked="0"/>
            <c:txPr>
              <a:bodyPr/>
              <a:lstStyle/>
              <a:p>
                <a:pPr>
                  <a:defRPr b="0" i="0" strike="noStrike" sz="1000" u="none">
                    <a:solidFill>
                      <a:srgbClr val="000000"/>
                    </a:solidFill>
                    <a:latin typeface="Calibri"/>
                  </a:defRPr>
                </a:pPr>
              </a:p>
            </c:txPr>
            <c:dLblPos val="outEnd"/>
            <c:showLegendKey val="0"/>
            <c:showVal val="1"/>
            <c:showCatName val="0"/>
            <c:showSerName val="0"/>
            <c:showPercent val="0"/>
            <c:showBubbleSize val="0"/>
            <c:showLeaderLines val="0"/>
          </c:dLbls>
          <c:cat>
            <c:strRef>
              <c:f>'2017'!$B$68:$F$68</c:f>
              <c:strCache>
                <c:ptCount val="5"/>
                <c:pt idx="0">
                  <c:v>ENERO</c:v>
                </c:pt>
                <c:pt idx="1">
                  <c:v>FEBRERO</c:v>
                </c:pt>
                <c:pt idx="2">
                  <c:v>MARZO</c:v>
                </c:pt>
                <c:pt idx="3">
                  <c:v>ABRIL</c:v>
                </c:pt>
                <c:pt idx="4">
                  <c:v>MAYO</c:v>
                </c:pt>
              </c:strCache>
            </c:strRef>
          </c:cat>
          <c:val>
            <c:numRef>
              <c:f>'2017'!$B$69:$F$69</c:f>
              <c:numCache>
                <c:ptCount val="5"/>
                <c:pt idx="0">
                  <c:v>0.000000</c:v>
                </c:pt>
                <c:pt idx="1">
                  <c:v>0.518868</c:v>
                </c:pt>
                <c:pt idx="2">
                  <c:v>0.306241</c:v>
                </c:pt>
                <c:pt idx="3">
                  <c:v>0.187767</c:v>
                </c:pt>
                <c:pt idx="4">
                  <c:v>0.199523</c:v>
                </c:pt>
              </c:numCache>
            </c:numRef>
          </c:val>
        </c:ser>
        <c:gapWidth val="150"/>
        <c:overlap val="0"/>
        <c:axId val="2094734552"/>
        <c:axId val="2094734553"/>
      </c:barChart>
      <c:catAx>
        <c:axId val="2094734552"/>
        <c:scaling>
          <c:orientation val="minMax"/>
        </c:scaling>
        <c:delete val="0"/>
        <c:axPos val="b"/>
        <c:numFmt formatCode="0.0%" sourceLinked="1"/>
        <c:majorTickMark val="out"/>
        <c:minorTickMark val="none"/>
        <c:tickLblPos val="low"/>
        <c:spPr>
          <a:ln w="12700" cap="flat">
            <a:solidFill>
              <a:srgbClr val="888888"/>
            </a:solidFill>
            <a:prstDash val="solid"/>
            <a:round/>
          </a:ln>
        </c:spPr>
        <c:txPr>
          <a:bodyPr rot="0"/>
          <a:lstStyle/>
          <a:p>
            <a:pPr>
              <a:defRPr b="0" i="0" strike="noStrike" sz="1000" u="none">
                <a:solidFill>
                  <a:srgbClr val="000000"/>
                </a:solidFill>
                <a:latin typeface="Calibri"/>
              </a:defRPr>
            </a:pPr>
          </a:p>
        </c:txPr>
        <c:crossAx val="2094734553"/>
        <c:crosses val="autoZero"/>
        <c:auto val="1"/>
        <c:lblAlgn val="ctr"/>
        <c:noMultiLvlLbl val="1"/>
      </c:catAx>
      <c:valAx>
        <c:axId val="2094734553"/>
        <c:scaling>
          <c:orientation val="minMax"/>
        </c:scaling>
        <c:delete val="0"/>
        <c:axPos val="l"/>
        <c:majorGridlines>
          <c:spPr>
            <a:ln w="12700" cap="flat">
              <a:solidFill>
                <a:srgbClr val="888888"/>
              </a:solidFill>
              <a:prstDash val="solid"/>
              <a:round/>
            </a:ln>
          </c:spPr>
        </c:majorGridlines>
        <c:numFmt formatCode="0.0%" sourceLinked="1"/>
        <c:majorTickMark val="out"/>
        <c:minorTickMark val="none"/>
        <c:tickLblPos val="nextTo"/>
        <c:spPr>
          <a:ln w="12700" cap="flat">
            <a:solidFill>
              <a:srgbClr val="888888"/>
            </a:solidFill>
            <a:prstDash val="solid"/>
            <a:round/>
          </a:ln>
        </c:spPr>
        <c:txPr>
          <a:bodyPr rot="0"/>
          <a:lstStyle/>
          <a:p>
            <a:pPr>
              <a:defRPr b="0" i="0" strike="noStrike" sz="1000" u="none">
                <a:solidFill>
                  <a:srgbClr val="000000"/>
                </a:solidFill>
                <a:latin typeface="Calibri"/>
              </a:defRPr>
            </a:pPr>
          </a:p>
        </c:txPr>
        <c:crossAx val="2094734552"/>
        <c:crosses val="autoZero"/>
        <c:crossBetween val="between"/>
        <c:majorUnit val="0.15"/>
        <c:minorUnit val="0.075"/>
      </c:valAx>
      <c:spPr>
        <a:solidFill>
          <a:srgbClr val="FFFFFF"/>
        </a:solidFill>
        <a:ln w="12700" cap="flat">
          <a:noFill/>
          <a:miter lim="400000"/>
        </a:ln>
        <a:effectLst/>
      </c:spPr>
    </c:plotArea>
    <c:legend>
      <c:legendPos val="r"/>
      <c:layout>
        <c:manualLayout>
          <c:xMode val="edge"/>
          <c:yMode val="edge"/>
          <c:x val="0.700849"/>
          <c:y val="0.451594"/>
          <c:w val="0.299151"/>
          <c:h val="0.0789969"/>
        </c:manualLayout>
      </c:layout>
      <c:overlay val="1"/>
      <c:spPr>
        <a:noFill/>
        <a:ln w="12700" cap="flat">
          <a:noFill/>
          <a:miter lim="400000"/>
        </a:ln>
        <a:effectLst/>
      </c:spPr>
      <c:txPr>
        <a:bodyPr rot="0"/>
        <a:lstStyle/>
        <a:p>
          <a:pPr>
            <a:defRPr b="0" i="0" strike="noStrike" sz="1000" u="none">
              <a:solidFill>
                <a:srgbClr val="000000"/>
              </a:solidFill>
              <a:latin typeface="Calibri"/>
            </a:defRPr>
          </a:pPr>
        </a:p>
      </c:txPr>
    </c:legend>
    <c:plotVisOnly val="1"/>
    <c:dispBlanksAs val="gap"/>
  </c:chart>
  <c:spPr>
    <a:solidFill>
      <a:srgbClr val="FFFFFF"/>
    </a:solidFill>
    <a:ln w="12700" cap="flat">
      <a:solidFill>
        <a:srgbClr val="888888"/>
      </a:solidFill>
      <a:prstDash val="solid"/>
      <a:round/>
    </a:ln>
    <a:effectLst/>
  </c:spPr>
</c:chartSpace>
</file>

<file path=xl/charts/chart19.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775515"/>
          <c:y val="0.065512"/>
          <c:w val="0.622687"/>
          <c:h val="0.825088"/>
        </c:manualLayout>
      </c:layout>
      <c:barChart>
        <c:barDir val="col"/>
        <c:grouping val="clustered"/>
        <c:varyColors val="0"/>
        <c:ser>
          <c:idx val="0"/>
          <c:order val="0"/>
          <c:tx>
            <c:strRef>
              <c:f>'2017'!$A$26</c:f>
              <c:strCache>
                <c:ptCount val="1"/>
                <c:pt idx="0">
                  <c:v>ASISTENTES DOMINGO (*)</c:v>
                </c:pt>
              </c:strCache>
            </c:strRef>
          </c:tx>
          <c:spPr>
            <a:gradFill flip="none" rotWithShape="1">
              <a:gsLst>
                <a:gs pos="0">
                  <a:srgbClr val="3F80CE"/>
                </a:gs>
                <a:gs pos="100000">
                  <a:schemeClr val="accent1">
                    <a:hueOff val="357503"/>
                    <a:satOff val="54545"/>
                    <a:lumOff val="29273"/>
                  </a:schemeClr>
                </a:gs>
              </a:gsLst>
              <a:lin ang="16200000" scaled="0"/>
            </a:gradFill>
            <a:ln w="12700" cap="flat">
              <a:noFill/>
              <a:miter lim="400000"/>
            </a:ln>
            <a:effectLst>
              <a:outerShdw sx="100000" sy="100000" kx="0" ky="0" algn="tl" rotWithShape="1" blurRad="38100" dist="23000" dir="5400000">
                <a:srgbClr val="000000">
                  <a:alpha val="35000"/>
                </a:srgbClr>
              </a:outerShdw>
            </a:effectLst>
          </c:spPr>
          <c:invertIfNegative val="0"/>
          <c:dLbls>
            <c:numFmt formatCode="&quot; &quot;#,##0&quot; &quot;;&quot;-&quot;#,##0&quot; &quot;;&quot; '- &quot;" sourceLinked="0"/>
            <c:txPr>
              <a:bodyPr/>
              <a:lstStyle/>
              <a:p>
                <a:pPr>
                  <a:defRPr b="0" i="0" strike="noStrike" sz="1000" u="none">
                    <a:solidFill>
                      <a:srgbClr val="000000"/>
                    </a:solidFill>
                    <a:latin typeface="Calibri"/>
                  </a:defRPr>
                </a:pPr>
              </a:p>
            </c:txPr>
            <c:dLblPos val="outEnd"/>
            <c:showLegendKey val="0"/>
            <c:showVal val="1"/>
            <c:showCatName val="0"/>
            <c:showSerName val="0"/>
            <c:showPercent val="0"/>
            <c:showBubbleSize val="0"/>
            <c:showLeaderLines val="0"/>
          </c:dLbls>
          <c:cat>
            <c:strRef>
              <c:f>'2017'!$B$25:$I$25</c:f>
              <c:strCache>
                <c:ptCount val="8"/>
                <c:pt idx="0">
                  <c:v>ENERO</c:v>
                </c:pt>
                <c:pt idx="1">
                  <c:v>FEBRERO</c:v>
                </c:pt>
                <c:pt idx="2">
                  <c:v>MARZO</c:v>
                </c:pt>
                <c:pt idx="3">
                  <c:v>ABRIL</c:v>
                </c:pt>
                <c:pt idx="4">
                  <c:v>MAYO</c:v>
                </c:pt>
                <c:pt idx="5">
                  <c:v>JUNIO</c:v>
                </c:pt>
                <c:pt idx="6">
                  <c:v>JULIO</c:v>
                </c:pt>
                <c:pt idx="7">
                  <c:v>AGOSTO</c:v>
                </c:pt>
              </c:strCache>
            </c:strRef>
          </c:cat>
          <c:val>
            <c:numRef>
              <c:f>'2017'!$B$26:$I$26</c:f>
              <c:numCache>
                <c:ptCount val="8"/>
                <c:pt idx="0">
                  <c:v>1096.000000</c:v>
                </c:pt>
                <c:pt idx="1">
                  <c:v>1590.000000</c:v>
                </c:pt>
                <c:pt idx="2">
                  <c:v>1378.000000</c:v>
                </c:pt>
                <c:pt idx="3">
                  <c:v>1406.000000</c:v>
                </c:pt>
                <c:pt idx="4">
                  <c:v>1258.000000</c:v>
                </c:pt>
                <c:pt idx="5">
                  <c:v>1282.000000</c:v>
                </c:pt>
                <c:pt idx="6">
                  <c:v>1456.400000</c:v>
                </c:pt>
                <c:pt idx="7">
                  <c:v>1370.500000</c:v>
                </c:pt>
              </c:numCache>
            </c:numRef>
          </c:val>
        </c:ser>
        <c:ser>
          <c:idx val="1"/>
          <c:order val="1"/>
          <c:tx>
            <c:strRef>
              <c:f>'2017'!$A$27</c:f>
              <c:strCache>
                <c:ptCount val="1"/>
                <c:pt idx="0">
                  <c:v>ASISTENTES MIERCOLES</c:v>
                </c:pt>
              </c:strCache>
            </c:strRef>
          </c:tx>
          <c:spPr>
            <a:gradFill flip="none" rotWithShape="1">
              <a:gsLst>
                <a:gs pos="0">
                  <a:srgbClr val="D1403C"/>
                </a:gs>
                <a:gs pos="100000">
                  <a:schemeClr val="accent2">
                    <a:hueOff val="-39879"/>
                    <a:satOff val="52282"/>
                    <a:lumOff val="29251"/>
                  </a:schemeClr>
                </a:gs>
              </a:gsLst>
              <a:lin ang="16200000" scaled="0"/>
            </a:gradFill>
            <a:ln w="12700" cap="flat">
              <a:noFill/>
              <a:miter lim="400000"/>
            </a:ln>
            <a:effectLst>
              <a:outerShdw sx="100000" sy="100000" kx="0" ky="0" algn="tl" rotWithShape="1" blurRad="38100" dist="23000" dir="5400000">
                <a:srgbClr val="000000">
                  <a:alpha val="35000"/>
                </a:srgbClr>
              </a:outerShdw>
            </a:effectLst>
          </c:spPr>
          <c:invertIfNegative val="0"/>
          <c:dLbls>
            <c:numFmt formatCode="&quot; &quot;#,##0&quot; &quot;;&quot;-&quot;#,##0&quot; &quot;;&quot; '- &quot;" sourceLinked="0"/>
            <c:txPr>
              <a:bodyPr/>
              <a:lstStyle/>
              <a:p>
                <a:pPr>
                  <a:defRPr b="0" i="0" strike="noStrike" sz="1000" u="none">
                    <a:solidFill>
                      <a:srgbClr val="000000"/>
                    </a:solidFill>
                    <a:latin typeface="Calibri"/>
                  </a:defRPr>
                </a:pPr>
              </a:p>
            </c:txPr>
            <c:dLblPos val="outEnd"/>
            <c:showLegendKey val="0"/>
            <c:showVal val="1"/>
            <c:showCatName val="0"/>
            <c:showSerName val="0"/>
            <c:showPercent val="0"/>
            <c:showBubbleSize val="0"/>
            <c:showLeaderLines val="0"/>
          </c:dLbls>
          <c:cat>
            <c:strRef>
              <c:f>'2017'!$B$25:$I$25</c:f>
              <c:strCache>
                <c:ptCount val="8"/>
                <c:pt idx="0">
                  <c:v>ENERO</c:v>
                </c:pt>
                <c:pt idx="1">
                  <c:v>FEBRERO</c:v>
                </c:pt>
                <c:pt idx="2">
                  <c:v>MARZO</c:v>
                </c:pt>
                <c:pt idx="3">
                  <c:v>ABRIL</c:v>
                </c:pt>
                <c:pt idx="4">
                  <c:v>MAYO</c:v>
                </c:pt>
                <c:pt idx="5">
                  <c:v>JUNIO</c:v>
                </c:pt>
                <c:pt idx="6">
                  <c:v>JULIO</c:v>
                </c:pt>
                <c:pt idx="7">
                  <c:v>AGOSTO</c:v>
                </c:pt>
              </c:strCache>
            </c:strRef>
          </c:cat>
          <c:val>
            <c:numRef>
              <c:f>'2017'!$B$27:$I$27</c:f>
              <c:numCache>
                <c:ptCount val="8"/>
                <c:pt idx="0">
                  <c:v>88.000000</c:v>
                </c:pt>
                <c:pt idx="1">
                  <c:v>96.000000</c:v>
                </c:pt>
                <c:pt idx="2">
                  <c:v>73.000000</c:v>
                </c:pt>
                <c:pt idx="3">
                  <c:v>78.000000</c:v>
                </c:pt>
                <c:pt idx="4">
                  <c:v>60.000000</c:v>
                </c:pt>
                <c:pt idx="5">
                  <c:v>98.000000</c:v>
                </c:pt>
                <c:pt idx="6">
                  <c:v>99.000000</c:v>
                </c:pt>
                <c:pt idx="7">
                  <c:v>82.166667</c:v>
                </c:pt>
              </c:numCache>
            </c:numRef>
          </c:val>
        </c:ser>
        <c:ser>
          <c:idx val="2"/>
          <c:order val="2"/>
          <c:tx>
            <c:strRef>
              <c:f>'2017'!$A$28</c:f>
              <c:strCache>
                <c:ptCount val="1"/>
                <c:pt idx="0">
                  <c:v>ASISTENTES AYUNO</c:v>
                </c:pt>
              </c:strCache>
            </c:strRef>
          </c:tx>
          <c:spPr>
            <a:gradFill flip="none" rotWithShape="1">
              <a:gsLst>
                <a:gs pos="0">
                  <a:srgbClr val="A0CA4A"/>
                </a:gs>
                <a:gs pos="100000">
                  <a:srgbClr val="DAFFA3"/>
                </a:gs>
              </a:gsLst>
              <a:lin ang="16200000" scaled="0"/>
            </a:gradFill>
            <a:ln w="12700" cap="flat">
              <a:noFill/>
              <a:miter lim="400000"/>
            </a:ln>
            <a:effectLst>
              <a:outerShdw sx="100000" sy="100000" kx="0" ky="0" algn="tl" rotWithShape="1" blurRad="38100" dist="23000" dir="5400000">
                <a:srgbClr val="000000">
                  <a:alpha val="35000"/>
                </a:srgbClr>
              </a:outerShdw>
            </a:effectLst>
          </c:spPr>
          <c:invertIfNegative val="0"/>
          <c:dLbls>
            <c:numFmt formatCode="&quot; &quot;#,##0&quot; &quot;;&quot;-&quot;#,##0&quot; &quot;;&quot; '- &quot;" sourceLinked="0"/>
            <c:txPr>
              <a:bodyPr/>
              <a:lstStyle/>
              <a:p>
                <a:pPr>
                  <a:defRPr b="0" i="0" strike="noStrike" sz="1000" u="none">
                    <a:solidFill>
                      <a:srgbClr val="000000"/>
                    </a:solidFill>
                    <a:latin typeface="Calibri"/>
                  </a:defRPr>
                </a:pPr>
              </a:p>
            </c:txPr>
            <c:dLblPos val="outEnd"/>
            <c:showLegendKey val="0"/>
            <c:showVal val="1"/>
            <c:showCatName val="0"/>
            <c:showSerName val="0"/>
            <c:showPercent val="0"/>
            <c:showBubbleSize val="0"/>
            <c:showLeaderLines val="0"/>
          </c:dLbls>
          <c:cat>
            <c:strRef>
              <c:f>'2017'!$B$25:$I$25</c:f>
              <c:strCache>
                <c:ptCount val="8"/>
                <c:pt idx="0">
                  <c:v>ENERO</c:v>
                </c:pt>
                <c:pt idx="1">
                  <c:v>FEBRERO</c:v>
                </c:pt>
                <c:pt idx="2">
                  <c:v>MARZO</c:v>
                </c:pt>
                <c:pt idx="3">
                  <c:v>ABRIL</c:v>
                </c:pt>
                <c:pt idx="4">
                  <c:v>MAYO</c:v>
                </c:pt>
                <c:pt idx="5">
                  <c:v>JUNIO</c:v>
                </c:pt>
                <c:pt idx="6">
                  <c:v>JULIO</c:v>
                </c:pt>
                <c:pt idx="7">
                  <c:v>AGOSTO</c:v>
                </c:pt>
              </c:strCache>
            </c:strRef>
          </c:cat>
          <c:val>
            <c:numRef>
              <c:f>'2017'!$B$28:$I$28</c:f>
              <c:numCache>
                <c:ptCount val="8"/>
                <c:pt idx="0">
                  <c:v>227.000000</c:v>
                </c:pt>
                <c:pt idx="1">
                  <c:v>252.000000</c:v>
                </c:pt>
                <c:pt idx="2">
                  <c:v>354.000000</c:v>
                </c:pt>
                <c:pt idx="3">
                  <c:v>248.000000</c:v>
                </c:pt>
                <c:pt idx="4">
                  <c:v>554.000000</c:v>
                </c:pt>
                <c:pt idx="5">
                  <c:v>314.000000</c:v>
                </c:pt>
                <c:pt idx="6">
                  <c:v>359.000000</c:v>
                </c:pt>
                <c:pt idx="7">
                  <c:v>324.833333</c:v>
                </c:pt>
              </c:numCache>
            </c:numRef>
          </c:val>
        </c:ser>
        <c:ser>
          <c:idx val="3"/>
          <c:order val="3"/>
          <c:tx>
            <c:strRef>
              <c:f>'2017'!$A$29</c:f>
              <c:strCache>
                <c:ptCount val="1"/>
                <c:pt idx="0">
                  <c:v>SOBRES DIEZMOS</c:v>
                </c:pt>
              </c:strCache>
            </c:strRef>
          </c:tx>
          <c:spPr>
            <a:gradFill flip="none" rotWithShape="1">
              <a:gsLst>
                <a:gs pos="0">
                  <a:srgbClr val="7F5BAB"/>
                </a:gs>
                <a:gs pos="100000">
                  <a:srgbClr val="C7AEED"/>
                </a:gs>
              </a:gsLst>
              <a:lin ang="16200000" scaled="0"/>
            </a:gradFill>
            <a:ln w="12700" cap="flat">
              <a:noFill/>
              <a:miter lim="400000"/>
            </a:ln>
            <a:effectLst>
              <a:outerShdw sx="100000" sy="100000" kx="0" ky="0" algn="tl" rotWithShape="1" blurRad="38100" dist="23000" dir="5400000">
                <a:srgbClr val="000000">
                  <a:alpha val="35000"/>
                </a:srgbClr>
              </a:outerShdw>
            </a:effectLst>
          </c:spPr>
          <c:invertIfNegative val="0"/>
          <c:dLbls>
            <c:numFmt formatCode="&quot; &quot;#,##0&quot; &quot;;&quot;-&quot;#,##0&quot; &quot;;&quot; '- &quot;" sourceLinked="0"/>
            <c:txPr>
              <a:bodyPr/>
              <a:lstStyle/>
              <a:p>
                <a:pPr>
                  <a:defRPr b="0" i="0" strike="noStrike" sz="1000" u="none">
                    <a:solidFill>
                      <a:srgbClr val="000000"/>
                    </a:solidFill>
                    <a:latin typeface="Calibri"/>
                  </a:defRPr>
                </a:pPr>
              </a:p>
            </c:txPr>
            <c:dLblPos val="outEnd"/>
            <c:showLegendKey val="0"/>
            <c:showVal val="1"/>
            <c:showCatName val="0"/>
            <c:showSerName val="0"/>
            <c:showPercent val="0"/>
            <c:showBubbleSize val="0"/>
            <c:showLeaderLines val="0"/>
          </c:dLbls>
          <c:cat>
            <c:strRef>
              <c:f>'2017'!$B$25:$I$25</c:f>
              <c:strCache>
                <c:ptCount val="8"/>
                <c:pt idx="0">
                  <c:v>ENERO</c:v>
                </c:pt>
                <c:pt idx="1">
                  <c:v>FEBRERO</c:v>
                </c:pt>
                <c:pt idx="2">
                  <c:v>MARZO</c:v>
                </c:pt>
                <c:pt idx="3">
                  <c:v>ABRIL</c:v>
                </c:pt>
                <c:pt idx="4">
                  <c:v>MAYO</c:v>
                </c:pt>
                <c:pt idx="5">
                  <c:v>JUNIO</c:v>
                </c:pt>
                <c:pt idx="6">
                  <c:v>JULIO</c:v>
                </c:pt>
                <c:pt idx="7">
                  <c:v>AGOSTO</c:v>
                </c:pt>
              </c:strCache>
            </c:strRef>
          </c:cat>
          <c:val>
            <c:numRef>
              <c:f>'2017'!$B$29:$I$29</c:f>
              <c:numCache>
                <c:ptCount val="8"/>
                <c:pt idx="0">
                  <c:v>1110.000000</c:v>
                </c:pt>
                <c:pt idx="1">
                  <c:v>1084.000000</c:v>
                </c:pt>
                <c:pt idx="2">
                  <c:v>1124.000000</c:v>
                </c:pt>
                <c:pt idx="3">
                  <c:v>1091.000000</c:v>
                </c:pt>
                <c:pt idx="4">
                  <c:v>1243.000000</c:v>
                </c:pt>
                <c:pt idx="5">
                  <c:v>1029.000000</c:v>
                </c:pt>
                <c:pt idx="6">
                  <c:v>1323.000000</c:v>
                </c:pt>
                <c:pt idx="7">
                  <c:v>917.000000</c:v>
                </c:pt>
              </c:numCache>
            </c:numRef>
          </c:val>
        </c:ser>
        <c:gapWidth val="150"/>
        <c:overlap val="0"/>
        <c:axId val="2094734552"/>
        <c:axId val="2094734553"/>
      </c:barChart>
      <c:catAx>
        <c:axId val="2094734552"/>
        <c:scaling>
          <c:orientation val="minMax"/>
        </c:scaling>
        <c:delete val="0"/>
        <c:axPos val="b"/>
        <c:numFmt formatCode="#,##0" sourceLinked="1"/>
        <c:majorTickMark val="out"/>
        <c:minorTickMark val="none"/>
        <c:tickLblPos val="low"/>
        <c:spPr>
          <a:ln w="12700" cap="flat">
            <a:solidFill>
              <a:srgbClr val="888888"/>
            </a:solidFill>
            <a:prstDash val="solid"/>
            <a:round/>
          </a:ln>
        </c:spPr>
        <c:txPr>
          <a:bodyPr rot="0"/>
          <a:lstStyle/>
          <a:p>
            <a:pPr>
              <a:defRPr b="0" i="0" strike="noStrike" sz="1000" u="none">
                <a:solidFill>
                  <a:srgbClr val="000000"/>
                </a:solidFill>
                <a:latin typeface="Calibri"/>
              </a:defRPr>
            </a:pPr>
          </a:p>
        </c:txPr>
        <c:crossAx val="2094734553"/>
        <c:crosses val="autoZero"/>
        <c:auto val="1"/>
        <c:lblAlgn val="ctr"/>
        <c:noMultiLvlLbl val="1"/>
      </c:catAx>
      <c:valAx>
        <c:axId val="2094734553"/>
        <c:scaling>
          <c:orientation val="minMax"/>
        </c:scaling>
        <c:delete val="0"/>
        <c:axPos val="l"/>
        <c:majorGridlines>
          <c:spPr>
            <a:ln w="12700" cap="flat">
              <a:solidFill>
                <a:srgbClr val="888888"/>
              </a:solidFill>
              <a:prstDash val="solid"/>
              <a:round/>
            </a:ln>
          </c:spPr>
        </c:majorGridlines>
        <c:numFmt formatCode="#,##0" sourceLinked="1"/>
        <c:majorTickMark val="out"/>
        <c:minorTickMark val="none"/>
        <c:tickLblPos val="nextTo"/>
        <c:spPr>
          <a:ln w="12700" cap="flat">
            <a:solidFill>
              <a:srgbClr val="888888"/>
            </a:solidFill>
            <a:prstDash val="solid"/>
            <a:round/>
          </a:ln>
        </c:spPr>
        <c:txPr>
          <a:bodyPr rot="0"/>
          <a:lstStyle/>
          <a:p>
            <a:pPr>
              <a:defRPr b="0" i="0" strike="noStrike" sz="1000" u="none">
                <a:solidFill>
                  <a:srgbClr val="000000"/>
                </a:solidFill>
                <a:latin typeface="Calibri"/>
              </a:defRPr>
            </a:pPr>
          </a:p>
        </c:txPr>
        <c:crossAx val="2094734552"/>
        <c:crosses val="autoZero"/>
        <c:crossBetween val="between"/>
        <c:majorUnit val="400"/>
        <c:minorUnit val="200"/>
      </c:valAx>
      <c:spPr>
        <a:solidFill>
          <a:srgbClr val="FFFFFF"/>
        </a:solidFill>
        <a:ln w="12700" cap="flat">
          <a:noFill/>
          <a:miter lim="400000"/>
        </a:ln>
        <a:effectLst/>
      </c:spPr>
    </c:plotArea>
    <c:legend>
      <c:legendPos val="r"/>
      <c:layout>
        <c:manualLayout>
          <c:xMode val="edge"/>
          <c:yMode val="edge"/>
          <c:x val="0.730711"/>
          <c:y val="0.392697"/>
          <c:w val="0.269289"/>
          <c:h val="0.264451"/>
        </c:manualLayout>
      </c:layout>
      <c:overlay val="1"/>
      <c:spPr>
        <a:noFill/>
        <a:ln w="12700" cap="flat">
          <a:noFill/>
          <a:miter lim="400000"/>
        </a:ln>
        <a:effectLst/>
      </c:spPr>
      <c:txPr>
        <a:bodyPr rot="0"/>
        <a:lstStyle/>
        <a:p>
          <a:pPr>
            <a:defRPr b="0" i="0" strike="noStrike" sz="1000" u="none">
              <a:solidFill>
                <a:srgbClr val="000000"/>
              </a:solidFill>
              <a:latin typeface="Calibri"/>
            </a:defRPr>
          </a:pPr>
        </a:p>
      </c:txPr>
    </c:legend>
    <c:plotVisOnly val="1"/>
    <c:dispBlanksAs val="gap"/>
  </c:chart>
  <c:spPr>
    <a:solidFill>
      <a:srgbClr val="FFFFFF"/>
    </a:solidFill>
    <a:ln w="12700" cap="flat">
      <a:solidFill>
        <a:srgbClr val="888888"/>
      </a:solidFill>
      <a:prstDash val="solid"/>
      <a:round/>
    </a:ln>
    <a:effectLst/>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s>

</file>

<file path=xl/drawings/_rels/drawing2.xml.rels><?xml version="1.0" encoding="UTF-8"?>
<Relationships xmlns="http://schemas.openxmlformats.org/package/2006/relationships"><Relationship Id="rId1" Type="http://schemas.openxmlformats.org/officeDocument/2006/relationships/chart" Target="../charts/chart10.xml"/><Relationship Id="rId2" Type="http://schemas.openxmlformats.org/officeDocument/2006/relationships/chart" Target="../charts/chart11.xml"/><Relationship Id="rId3" Type="http://schemas.openxmlformats.org/officeDocument/2006/relationships/chart" Target="../charts/chart12.xml"/><Relationship Id="rId4" Type="http://schemas.openxmlformats.org/officeDocument/2006/relationships/chart" Target="../charts/chart13.xml"/><Relationship Id="rId5" Type="http://schemas.openxmlformats.org/officeDocument/2006/relationships/chart" Target="../charts/chart14.xml"/></Relationships>

</file>

<file path=xl/drawings/_rels/drawing3.xml.rels><?xml version="1.0" encoding="UTF-8"?>
<Relationships xmlns="http://schemas.openxmlformats.org/package/2006/relationships"><Relationship Id="rId1" Type="http://schemas.openxmlformats.org/officeDocument/2006/relationships/chart" Target="../charts/chart15.xml"/><Relationship Id="rId2" Type="http://schemas.openxmlformats.org/officeDocument/2006/relationships/chart" Target="../charts/chart16.xml"/><Relationship Id="rId3" Type="http://schemas.openxmlformats.org/officeDocument/2006/relationships/chart" Target="../charts/chart17.xml"/><Relationship Id="rId4" Type="http://schemas.openxmlformats.org/officeDocument/2006/relationships/chart" Target="../charts/chart18.xml"/><Relationship Id="rId5" Type="http://schemas.openxmlformats.org/officeDocument/2006/relationships/chart" Target="../charts/chart19.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5</xdr:col>
      <xdr:colOff>918834</xdr:colOff>
      <xdr:row>70</xdr:row>
      <xdr:rowOff>61213</xdr:rowOff>
    </xdr:from>
    <xdr:to>
      <xdr:col>11</xdr:col>
      <xdr:colOff>301050</xdr:colOff>
      <xdr:row>83</xdr:row>
      <xdr:rowOff>171899</xdr:rowOff>
    </xdr:to>
    <xdr:graphicFrame>
      <xdr:nvGraphicFramePr>
        <xdr:cNvPr id="2" name="Gráfica de columnas 2D"/>
        <xdr:cNvGraphicFramePr/>
      </xdr:nvGraphicFramePr>
      <xdr:xfrm>
        <a:off x="7383134" y="13904213"/>
        <a:ext cx="6367217" cy="2587187"/>
      </xdr:xfrm>
      <a:graphic xmlns:a="http://schemas.openxmlformats.org/drawingml/2006/main">
        <a:graphicData uri="http://schemas.openxmlformats.org/drawingml/2006/chart">
          <c:chart xmlns:c="http://schemas.openxmlformats.org/drawingml/2006/chart" r:id="rId1"/>
        </a:graphicData>
      </a:graphic>
    </xdr:graphicFrame>
    <xdr:clientData/>
  </xdr:twoCellAnchor>
  <xdr:twoCellAnchor>
    <xdr:from>
      <xdr:col>0</xdr:col>
      <xdr:colOff>1865763</xdr:colOff>
      <xdr:row>88</xdr:row>
      <xdr:rowOff>86613</xdr:rowOff>
    </xdr:from>
    <xdr:to>
      <xdr:col>5</xdr:col>
      <xdr:colOff>925585</xdr:colOff>
      <xdr:row>100</xdr:row>
      <xdr:rowOff>121099</xdr:rowOff>
    </xdr:to>
    <xdr:graphicFrame>
      <xdr:nvGraphicFramePr>
        <xdr:cNvPr id="3" name="Gráfica de columnas 2D"/>
        <xdr:cNvGraphicFramePr/>
      </xdr:nvGraphicFramePr>
      <xdr:xfrm>
        <a:off x="1865763" y="17358613"/>
        <a:ext cx="5524122" cy="2320487"/>
      </xdr:xfrm>
      <a:graphic xmlns:a="http://schemas.openxmlformats.org/drawingml/2006/main">
        <a:graphicData uri="http://schemas.openxmlformats.org/drawingml/2006/chart">
          <c:chart xmlns:c="http://schemas.openxmlformats.org/drawingml/2006/chart" r:id="rId2"/>
        </a:graphicData>
      </a:graphic>
    </xdr:graphicFrame>
    <xdr:clientData/>
  </xdr:twoCellAnchor>
  <xdr:twoCellAnchor>
    <xdr:from>
      <xdr:col>6</xdr:col>
      <xdr:colOff>789565</xdr:colOff>
      <xdr:row>88</xdr:row>
      <xdr:rowOff>10413</xdr:rowOff>
    </xdr:from>
    <xdr:to>
      <xdr:col>11</xdr:col>
      <xdr:colOff>713546</xdr:colOff>
      <xdr:row>100</xdr:row>
      <xdr:rowOff>44899</xdr:rowOff>
    </xdr:to>
    <xdr:graphicFrame>
      <xdr:nvGraphicFramePr>
        <xdr:cNvPr id="4" name="Gráfica de columnas 2D"/>
        <xdr:cNvGraphicFramePr/>
      </xdr:nvGraphicFramePr>
      <xdr:xfrm>
        <a:off x="8371464" y="17282413"/>
        <a:ext cx="5791383" cy="2320487"/>
      </xdr:xfrm>
      <a:graphic xmlns:a="http://schemas.openxmlformats.org/drawingml/2006/main">
        <a:graphicData uri="http://schemas.openxmlformats.org/drawingml/2006/chart">
          <c:chart xmlns:c="http://schemas.openxmlformats.org/drawingml/2006/chart" r:id="rId3"/>
        </a:graphicData>
      </a:graphic>
    </xdr:graphicFrame>
    <xdr:clientData/>
  </xdr:twoCellAnchor>
  <xdr:twoCellAnchor>
    <xdr:from>
      <xdr:col>0</xdr:col>
      <xdr:colOff>1790629</xdr:colOff>
      <xdr:row>103</xdr:row>
      <xdr:rowOff>124713</xdr:rowOff>
    </xdr:from>
    <xdr:to>
      <xdr:col>6</xdr:col>
      <xdr:colOff>684285</xdr:colOff>
      <xdr:row>117</xdr:row>
      <xdr:rowOff>44899</xdr:rowOff>
    </xdr:to>
    <xdr:graphicFrame>
      <xdr:nvGraphicFramePr>
        <xdr:cNvPr id="5" name="Gráfica de columnas 2D"/>
        <xdr:cNvGraphicFramePr/>
      </xdr:nvGraphicFramePr>
      <xdr:xfrm>
        <a:off x="1790629" y="20254213"/>
        <a:ext cx="6475556" cy="2587187"/>
      </xdr:xfrm>
      <a:graphic xmlns:a="http://schemas.openxmlformats.org/drawingml/2006/main">
        <a:graphicData uri="http://schemas.openxmlformats.org/drawingml/2006/chart">
          <c:chart xmlns:c="http://schemas.openxmlformats.org/drawingml/2006/chart" r:id="rId4"/>
        </a:graphicData>
      </a:graphic>
    </xdr:graphicFrame>
    <xdr:clientData/>
  </xdr:twoCellAnchor>
  <xdr:twoCellAnchor>
    <xdr:from>
      <xdr:col>0</xdr:col>
      <xdr:colOff>1722962</xdr:colOff>
      <xdr:row>70</xdr:row>
      <xdr:rowOff>150113</xdr:rowOff>
    </xdr:from>
    <xdr:to>
      <xdr:col>6</xdr:col>
      <xdr:colOff>290584</xdr:colOff>
      <xdr:row>82</xdr:row>
      <xdr:rowOff>184599</xdr:rowOff>
    </xdr:to>
    <xdr:graphicFrame>
      <xdr:nvGraphicFramePr>
        <xdr:cNvPr id="6" name="Gráfica de columnas 2D"/>
        <xdr:cNvGraphicFramePr/>
      </xdr:nvGraphicFramePr>
      <xdr:xfrm>
        <a:off x="1722962" y="13993113"/>
        <a:ext cx="6149523" cy="2320487"/>
      </xdr:xfrm>
      <a:graphic xmlns:a="http://schemas.openxmlformats.org/drawingml/2006/main">
        <a:graphicData uri="http://schemas.openxmlformats.org/drawingml/2006/chart">
          <c:chart xmlns:c="http://schemas.openxmlformats.org/drawingml/2006/chart" r:id="rId5"/>
        </a:graphicData>
      </a:graphic>
    </xdr:graphicFrame>
    <xdr:clientData/>
  </xdr:twoCellAnchor>
  <xdr:twoCellAnchor>
    <xdr:from>
      <xdr:col>6</xdr:col>
      <xdr:colOff>737839</xdr:colOff>
      <xdr:row>103</xdr:row>
      <xdr:rowOff>150113</xdr:rowOff>
    </xdr:from>
    <xdr:to>
      <xdr:col>11</xdr:col>
      <xdr:colOff>791620</xdr:colOff>
      <xdr:row>117</xdr:row>
      <xdr:rowOff>70299</xdr:rowOff>
    </xdr:to>
    <xdr:graphicFrame>
      <xdr:nvGraphicFramePr>
        <xdr:cNvPr id="7" name="Gráfica de columnas 2D"/>
        <xdr:cNvGraphicFramePr/>
      </xdr:nvGraphicFramePr>
      <xdr:xfrm>
        <a:off x="8319739" y="20279613"/>
        <a:ext cx="5921182" cy="2587187"/>
      </xdr:xfrm>
      <a:graphic xmlns:a="http://schemas.openxmlformats.org/drawingml/2006/main">
        <a:graphicData uri="http://schemas.openxmlformats.org/drawingml/2006/chart">
          <c:chart xmlns:c="http://schemas.openxmlformats.org/drawingml/2006/chart" r:id="rId6"/>
        </a:graphicData>
      </a:graphic>
    </xdr:graphicFrame>
    <xdr:clientData/>
  </xdr:twoCellAnchor>
  <xdr:twoCellAnchor>
    <xdr:from>
      <xdr:col>6</xdr:col>
      <xdr:colOff>245640</xdr:colOff>
      <xdr:row>139</xdr:row>
      <xdr:rowOff>137414</xdr:rowOff>
    </xdr:from>
    <xdr:to>
      <xdr:col>10</xdr:col>
      <xdr:colOff>1231391</xdr:colOff>
      <xdr:row>151</xdr:row>
      <xdr:rowOff>171901</xdr:rowOff>
    </xdr:to>
    <xdr:graphicFrame>
      <xdr:nvGraphicFramePr>
        <xdr:cNvPr id="8" name="Gráfica de columnas 2D"/>
        <xdr:cNvGraphicFramePr/>
      </xdr:nvGraphicFramePr>
      <xdr:xfrm>
        <a:off x="7827540" y="27124914"/>
        <a:ext cx="5595852" cy="2320488"/>
      </xdr:xfrm>
      <a:graphic xmlns:a="http://schemas.openxmlformats.org/drawingml/2006/main">
        <a:graphicData uri="http://schemas.openxmlformats.org/drawingml/2006/chart">
          <c:chart xmlns:c="http://schemas.openxmlformats.org/drawingml/2006/chart" r:id="rId7"/>
        </a:graphicData>
      </a:graphic>
    </xdr:graphicFrame>
    <xdr:clientData/>
  </xdr:twoCellAnchor>
  <xdr:twoCellAnchor>
    <xdr:from>
      <xdr:col>6</xdr:col>
      <xdr:colOff>845789</xdr:colOff>
      <xdr:row>156</xdr:row>
      <xdr:rowOff>175514</xdr:rowOff>
    </xdr:from>
    <xdr:to>
      <xdr:col>11</xdr:col>
      <xdr:colOff>88391</xdr:colOff>
      <xdr:row>169</xdr:row>
      <xdr:rowOff>19501</xdr:rowOff>
    </xdr:to>
    <xdr:graphicFrame>
      <xdr:nvGraphicFramePr>
        <xdr:cNvPr id="9" name="Gráfica de columnas 2D"/>
        <xdr:cNvGraphicFramePr/>
      </xdr:nvGraphicFramePr>
      <xdr:xfrm>
        <a:off x="8427689" y="30401514"/>
        <a:ext cx="5110003" cy="2320488"/>
      </xdr:xfrm>
      <a:graphic xmlns:a="http://schemas.openxmlformats.org/drawingml/2006/main">
        <a:graphicData uri="http://schemas.openxmlformats.org/drawingml/2006/chart">
          <c:chart xmlns:c="http://schemas.openxmlformats.org/drawingml/2006/chart" r:id="rId8"/>
        </a:graphicData>
      </a:graphic>
    </xdr:graphicFrame>
    <xdr:clientData/>
  </xdr:twoCellAnchor>
  <xdr:twoCellAnchor>
    <xdr:from>
      <xdr:col>6</xdr:col>
      <xdr:colOff>514374</xdr:colOff>
      <xdr:row>174</xdr:row>
      <xdr:rowOff>162814</xdr:rowOff>
    </xdr:from>
    <xdr:to>
      <xdr:col>11</xdr:col>
      <xdr:colOff>62991</xdr:colOff>
      <xdr:row>187</xdr:row>
      <xdr:rowOff>6801</xdr:rowOff>
    </xdr:to>
    <xdr:graphicFrame>
      <xdr:nvGraphicFramePr>
        <xdr:cNvPr id="10" name="Gráfica de columnas 2D"/>
        <xdr:cNvGraphicFramePr/>
      </xdr:nvGraphicFramePr>
      <xdr:xfrm>
        <a:off x="8096274" y="33817814"/>
        <a:ext cx="5416018" cy="2320488"/>
      </xdr:xfrm>
      <a:graphic xmlns:a="http://schemas.openxmlformats.org/drawingml/2006/main">
        <a:graphicData uri="http://schemas.openxmlformats.org/drawingml/2006/chart">
          <c:chart xmlns:c="http://schemas.openxmlformats.org/drawingml/2006/chart" r:id="rId9"/>
        </a:graphicData>
      </a:graphic>
    </xdr:graphicFrame>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5</xdr:col>
      <xdr:colOff>924422</xdr:colOff>
      <xdr:row>78</xdr:row>
      <xdr:rowOff>61213</xdr:rowOff>
    </xdr:from>
    <xdr:to>
      <xdr:col>11</xdr:col>
      <xdr:colOff>287812</xdr:colOff>
      <xdr:row>91</xdr:row>
      <xdr:rowOff>171899</xdr:rowOff>
    </xdr:to>
    <xdr:graphicFrame>
      <xdr:nvGraphicFramePr>
        <xdr:cNvPr id="12" name="Gráfica de columnas 2D"/>
        <xdr:cNvGraphicFramePr/>
      </xdr:nvGraphicFramePr>
      <xdr:xfrm>
        <a:off x="7731622" y="15606013"/>
        <a:ext cx="6627790" cy="2587187"/>
      </xdr:xfrm>
      <a:graphic xmlns:a="http://schemas.openxmlformats.org/drawingml/2006/main">
        <a:graphicData uri="http://schemas.openxmlformats.org/drawingml/2006/chart">
          <c:chart xmlns:c="http://schemas.openxmlformats.org/drawingml/2006/chart" r:id="rId1"/>
        </a:graphicData>
      </a:graphic>
    </xdr:graphicFrame>
    <xdr:clientData/>
  </xdr:twoCellAnchor>
  <xdr:twoCellAnchor>
    <xdr:from>
      <xdr:col>0</xdr:col>
      <xdr:colOff>1825988</xdr:colOff>
      <xdr:row>96</xdr:row>
      <xdr:rowOff>86613</xdr:rowOff>
    </xdr:from>
    <xdr:to>
      <xdr:col>5</xdr:col>
      <xdr:colOff>854473</xdr:colOff>
      <xdr:row>108</xdr:row>
      <xdr:rowOff>121099</xdr:rowOff>
    </xdr:to>
    <xdr:graphicFrame>
      <xdr:nvGraphicFramePr>
        <xdr:cNvPr id="13" name="Gráfica de columnas 2D"/>
        <xdr:cNvGraphicFramePr/>
      </xdr:nvGraphicFramePr>
      <xdr:xfrm>
        <a:off x="1825988" y="19060413"/>
        <a:ext cx="5835686" cy="2320487"/>
      </xdr:xfrm>
      <a:graphic xmlns:a="http://schemas.openxmlformats.org/drawingml/2006/main">
        <a:graphicData uri="http://schemas.openxmlformats.org/drawingml/2006/chart">
          <c:chart xmlns:c="http://schemas.openxmlformats.org/drawingml/2006/chart" r:id="rId2"/>
        </a:graphicData>
      </a:graphic>
    </xdr:graphicFrame>
    <xdr:clientData/>
  </xdr:twoCellAnchor>
  <xdr:twoCellAnchor>
    <xdr:from>
      <xdr:col>6</xdr:col>
      <xdr:colOff>795153</xdr:colOff>
      <xdr:row>95</xdr:row>
      <xdr:rowOff>181863</xdr:rowOff>
    </xdr:from>
    <xdr:to>
      <xdr:col>11</xdr:col>
      <xdr:colOff>630204</xdr:colOff>
      <xdr:row>108</xdr:row>
      <xdr:rowOff>44899</xdr:rowOff>
    </xdr:to>
    <xdr:graphicFrame>
      <xdr:nvGraphicFramePr>
        <xdr:cNvPr id="14" name="Gráfica de columnas 2D"/>
        <xdr:cNvGraphicFramePr/>
      </xdr:nvGraphicFramePr>
      <xdr:xfrm>
        <a:off x="8719953" y="18965163"/>
        <a:ext cx="5981851" cy="2339537"/>
      </xdr:xfrm>
      <a:graphic xmlns:a="http://schemas.openxmlformats.org/drawingml/2006/main">
        <a:graphicData uri="http://schemas.openxmlformats.org/drawingml/2006/chart">
          <c:chart xmlns:c="http://schemas.openxmlformats.org/drawingml/2006/chart" r:id="rId3"/>
        </a:graphicData>
      </a:graphic>
    </xdr:graphicFrame>
    <xdr:clientData/>
  </xdr:twoCellAnchor>
  <xdr:twoCellAnchor>
    <xdr:from>
      <xdr:col>0</xdr:col>
      <xdr:colOff>1787875</xdr:colOff>
      <xdr:row>111</xdr:row>
      <xdr:rowOff>124713</xdr:rowOff>
    </xdr:from>
    <xdr:to>
      <xdr:col>6</xdr:col>
      <xdr:colOff>613173</xdr:colOff>
      <xdr:row>125</xdr:row>
      <xdr:rowOff>44899</xdr:rowOff>
    </xdr:to>
    <xdr:graphicFrame>
      <xdr:nvGraphicFramePr>
        <xdr:cNvPr id="15" name="Gráfica de columnas 2D"/>
        <xdr:cNvGraphicFramePr/>
      </xdr:nvGraphicFramePr>
      <xdr:xfrm>
        <a:off x="1787875" y="21956013"/>
        <a:ext cx="6750099" cy="2587187"/>
      </xdr:xfrm>
      <a:graphic xmlns:a="http://schemas.openxmlformats.org/drawingml/2006/main">
        <a:graphicData uri="http://schemas.openxmlformats.org/drawingml/2006/chart">
          <c:chart xmlns:c="http://schemas.openxmlformats.org/drawingml/2006/chart" r:id="rId4"/>
        </a:graphicData>
      </a:graphic>
    </xdr:graphicFrame>
    <xdr:clientData/>
  </xdr:twoCellAnchor>
  <xdr:twoCellAnchor>
    <xdr:from>
      <xdr:col>0</xdr:col>
      <xdr:colOff>393976</xdr:colOff>
      <xdr:row>78</xdr:row>
      <xdr:rowOff>188213</xdr:rowOff>
    </xdr:from>
    <xdr:to>
      <xdr:col>5</xdr:col>
      <xdr:colOff>543323</xdr:colOff>
      <xdr:row>91</xdr:row>
      <xdr:rowOff>32199</xdr:rowOff>
    </xdr:to>
    <xdr:graphicFrame>
      <xdr:nvGraphicFramePr>
        <xdr:cNvPr id="16" name="Gráfica de columnas 2D"/>
        <xdr:cNvGraphicFramePr/>
      </xdr:nvGraphicFramePr>
      <xdr:xfrm>
        <a:off x="393976" y="15733013"/>
        <a:ext cx="6956548" cy="2320487"/>
      </xdr:xfrm>
      <a:graphic xmlns:a="http://schemas.openxmlformats.org/drawingml/2006/main">
        <a:graphicData uri="http://schemas.openxmlformats.org/drawingml/2006/chart">
          <c:chart xmlns:c="http://schemas.openxmlformats.org/drawingml/2006/chart" r:id="rId5"/>
        </a:graphicData>
      </a:graphic>
    </xdr:graphicFrame>
    <xdr:clientData/>
  </xdr:twoCellAnchor>
</xdr:wsDr>
</file>

<file path=xl/drawings/drawing3.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5</xdr:col>
      <xdr:colOff>924422</xdr:colOff>
      <xdr:row>99</xdr:row>
      <xdr:rowOff>61213</xdr:rowOff>
    </xdr:from>
    <xdr:to>
      <xdr:col>11</xdr:col>
      <xdr:colOff>287812</xdr:colOff>
      <xdr:row>112</xdr:row>
      <xdr:rowOff>171899</xdr:rowOff>
    </xdr:to>
    <xdr:graphicFrame>
      <xdr:nvGraphicFramePr>
        <xdr:cNvPr id="18" name="Gráfica de columnas 2D"/>
        <xdr:cNvGraphicFramePr/>
      </xdr:nvGraphicFramePr>
      <xdr:xfrm>
        <a:off x="7731622" y="19606513"/>
        <a:ext cx="6627790" cy="2587187"/>
      </xdr:xfrm>
      <a:graphic xmlns:a="http://schemas.openxmlformats.org/drawingml/2006/main">
        <a:graphicData uri="http://schemas.openxmlformats.org/drawingml/2006/chart">
          <c:chart xmlns:c="http://schemas.openxmlformats.org/drawingml/2006/chart" r:id="rId1"/>
        </a:graphicData>
      </a:graphic>
    </xdr:graphicFrame>
    <xdr:clientData/>
  </xdr:twoCellAnchor>
  <xdr:twoCellAnchor>
    <xdr:from>
      <xdr:col>0</xdr:col>
      <xdr:colOff>1872621</xdr:colOff>
      <xdr:row>117</xdr:row>
      <xdr:rowOff>86613</xdr:rowOff>
    </xdr:from>
    <xdr:to>
      <xdr:col>5</xdr:col>
      <xdr:colOff>854473</xdr:colOff>
      <xdr:row>129</xdr:row>
      <xdr:rowOff>121099</xdr:rowOff>
    </xdr:to>
    <xdr:graphicFrame>
      <xdr:nvGraphicFramePr>
        <xdr:cNvPr id="19" name="Gráfica de columnas 2D"/>
        <xdr:cNvGraphicFramePr/>
      </xdr:nvGraphicFramePr>
      <xdr:xfrm>
        <a:off x="1872620" y="23060913"/>
        <a:ext cx="5789054" cy="2320487"/>
      </xdr:xfrm>
      <a:graphic xmlns:a="http://schemas.openxmlformats.org/drawingml/2006/main">
        <a:graphicData uri="http://schemas.openxmlformats.org/drawingml/2006/chart">
          <c:chart xmlns:c="http://schemas.openxmlformats.org/drawingml/2006/chart" r:id="rId2"/>
        </a:graphicData>
      </a:graphic>
    </xdr:graphicFrame>
    <xdr:clientData/>
  </xdr:twoCellAnchor>
  <xdr:twoCellAnchor>
    <xdr:from>
      <xdr:col>6</xdr:col>
      <xdr:colOff>795153</xdr:colOff>
      <xdr:row>117</xdr:row>
      <xdr:rowOff>10413</xdr:rowOff>
    </xdr:from>
    <xdr:to>
      <xdr:col>11</xdr:col>
      <xdr:colOff>630204</xdr:colOff>
      <xdr:row>129</xdr:row>
      <xdr:rowOff>44899</xdr:rowOff>
    </xdr:to>
    <xdr:graphicFrame>
      <xdr:nvGraphicFramePr>
        <xdr:cNvPr id="20" name="Gráfica de columnas 2D"/>
        <xdr:cNvGraphicFramePr/>
      </xdr:nvGraphicFramePr>
      <xdr:xfrm>
        <a:off x="8719953" y="22984713"/>
        <a:ext cx="5981851" cy="2320487"/>
      </xdr:xfrm>
      <a:graphic xmlns:a="http://schemas.openxmlformats.org/drawingml/2006/main">
        <a:graphicData uri="http://schemas.openxmlformats.org/drawingml/2006/chart">
          <c:chart xmlns:c="http://schemas.openxmlformats.org/drawingml/2006/chart" r:id="rId3"/>
        </a:graphicData>
      </a:graphic>
    </xdr:graphicFrame>
    <xdr:clientData/>
  </xdr:twoCellAnchor>
  <xdr:twoCellAnchor>
    <xdr:from>
      <xdr:col>0</xdr:col>
      <xdr:colOff>1787875</xdr:colOff>
      <xdr:row>132</xdr:row>
      <xdr:rowOff>124711</xdr:rowOff>
    </xdr:from>
    <xdr:to>
      <xdr:col>6</xdr:col>
      <xdr:colOff>613173</xdr:colOff>
      <xdr:row>146</xdr:row>
      <xdr:rowOff>44898</xdr:rowOff>
    </xdr:to>
    <xdr:graphicFrame>
      <xdr:nvGraphicFramePr>
        <xdr:cNvPr id="21" name="Gráfica de columnas 2D"/>
        <xdr:cNvGraphicFramePr/>
      </xdr:nvGraphicFramePr>
      <xdr:xfrm>
        <a:off x="1787875" y="25956511"/>
        <a:ext cx="6750099" cy="2587188"/>
      </xdr:xfrm>
      <a:graphic xmlns:a="http://schemas.openxmlformats.org/drawingml/2006/main">
        <a:graphicData uri="http://schemas.openxmlformats.org/drawingml/2006/chart">
          <c:chart xmlns:c="http://schemas.openxmlformats.org/drawingml/2006/chart" r:id="rId4"/>
        </a:graphicData>
      </a:graphic>
    </xdr:graphicFrame>
    <xdr:clientData/>
  </xdr:twoCellAnchor>
  <xdr:twoCellAnchor>
    <xdr:from>
      <xdr:col>0</xdr:col>
      <xdr:colOff>1683187</xdr:colOff>
      <xdr:row>99</xdr:row>
      <xdr:rowOff>136929</xdr:rowOff>
    </xdr:from>
    <xdr:to>
      <xdr:col>6</xdr:col>
      <xdr:colOff>219473</xdr:colOff>
      <xdr:row>111</xdr:row>
      <xdr:rowOff>184599</xdr:rowOff>
    </xdr:to>
    <xdr:graphicFrame>
      <xdr:nvGraphicFramePr>
        <xdr:cNvPr id="22" name="Gráfica de columnas 2D"/>
        <xdr:cNvGraphicFramePr/>
      </xdr:nvGraphicFramePr>
      <xdr:xfrm>
        <a:off x="1683187" y="19682229"/>
        <a:ext cx="6461087" cy="2333671"/>
      </xdr:xfrm>
      <a:graphic xmlns:a="http://schemas.openxmlformats.org/drawingml/2006/main">
        <a:graphicData uri="http://schemas.openxmlformats.org/drawingml/2006/chart">
          <c:chart xmlns:c="http://schemas.openxmlformats.org/drawingml/2006/chart" r:id="rId5"/>
        </a:graphicData>
      </a:graphic>
    </xdr:graphicFrame>
    <xdr:clientData/>
  </xdr:twoCellAnchor>
</xdr:wsDr>
</file>

<file path=xl/theme/theme1.xml><?xml version="1.0" encoding="utf-8"?>
<a:theme xmlns:a="http://schemas.openxmlformats.org/drawingml/2006/main" xmlns:r="http://schemas.openxmlformats.org/officeDocument/2006/relationships" name="Tema de Office">
  <a:themeElements>
    <a:clrScheme name="Tema de 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Tema de Office">
      <a:majorFont>
        <a:latin typeface="Helvetica"/>
        <a:ea typeface="Helvetica"/>
        <a:cs typeface="Helvetica"/>
      </a:majorFont>
      <a:minorFont>
        <a:latin typeface="Helvetica"/>
        <a:ea typeface="Helvetica"/>
        <a:cs typeface="Helvetica"/>
      </a:minorFont>
    </a:fontScheme>
    <a:fmtScheme name="Tema de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s>

</file>

<file path=xl/worksheets/_rels/sheet3.xml.rels><?xml version="1.0" encoding="UTF-8"?>
<Relationships xmlns="http://schemas.openxmlformats.org/package/2006/relationships"><Relationship Id="rId1" Type="http://schemas.openxmlformats.org/officeDocument/2006/relationships/drawing" Target="../drawings/drawing2.xml"/></Relationships>

</file>

<file path=xl/worksheets/_rels/sheet4.xml.rels><?xml version="1.0" encoding="UTF-8"?>
<Relationships xmlns="http://schemas.openxmlformats.org/package/2006/relationships"><Relationship Id="rId1" Type="http://schemas.openxmlformats.org/officeDocument/2006/relationships/drawing" Target="../drawings/drawing3.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28"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77</v>
      </c>
      <c r="C11" s="3"/>
      <c r="D11" s="3"/>
    </row>
    <row r="12">
      <c r="B12" s="4"/>
      <c r="C12" t="s" s="4">
        <v>5</v>
      </c>
      <c r="D12" t="s" s="5">
        <v>77</v>
      </c>
    </row>
    <row r="13">
      <c r="B13" t="s" s="3">
        <v>93</v>
      </c>
      <c r="C13" s="3"/>
      <c r="D13" s="3"/>
    </row>
    <row r="14">
      <c r="B14" s="4"/>
      <c r="C14" t="s" s="4">
        <v>5</v>
      </c>
      <c r="D14" t="s" s="5">
        <v>93</v>
      </c>
    </row>
    <row r="15">
      <c r="B15" t="s" s="3">
        <v>114</v>
      </c>
      <c r="C15" s="3"/>
      <c r="D15" s="3"/>
    </row>
    <row r="16">
      <c r="B16" s="4"/>
      <c r="C16" t="s" s="4">
        <v>5</v>
      </c>
      <c r="D16" t="s" s="5">
        <v>114</v>
      </c>
    </row>
    <row r="17">
      <c r="B17" t="s" s="3">
        <v>152</v>
      </c>
      <c r="C17" s="3"/>
      <c r="D17" s="3"/>
    </row>
    <row r="18">
      <c r="B18" s="4"/>
      <c r="C18" t="s" s="4">
        <v>5</v>
      </c>
      <c r="D18" t="s" s="5">
        <v>152</v>
      </c>
    </row>
    <row r="19">
      <c r="B19" t="s" s="3">
        <v>162</v>
      </c>
      <c r="C19" s="3"/>
      <c r="D19" s="3"/>
    </row>
    <row r="20">
      <c r="B20" s="4"/>
      <c r="C20" t="s" s="4">
        <v>5</v>
      </c>
      <c r="D20" t="s" s="5">
        <v>162</v>
      </c>
    </row>
    <row r="21">
      <c r="B21" t="s" s="3">
        <v>172</v>
      </c>
      <c r="C21" s="3"/>
      <c r="D21" s="3"/>
    </row>
    <row r="22">
      <c r="B22" s="4"/>
      <c r="C22" t="s" s="4">
        <v>5</v>
      </c>
      <c r="D22" t="s" s="5">
        <v>172</v>
      </c>
    </row>
    <row r="23">
      <c r="B23" t="s" s="3">
        <v>181</v>
      </c>
      <c r="C23" s="3"/>
      <c r="D23" s="3"/>
    </row>
    <row r="24">
      <c r="B24" s="4"/>
      <c r="C24" t="s" s="4">
        <v>5</v>
      </c>
      <c r="D24" t="s" s="5">
        <v>181</v>
      </c>
    </row>
    <row r="25">
      <c r="B25" t="s" s="3">
        <v>192</v>
      </c>
      <c r="C25" s="3"/>
      <c r="D25" s="3"/>
    </row>
    <row r="26">
      <c r="B26" s="4"/>
      <c r="C26" t="s" s="4">
        <v>5</v>
      </c>
      <c r="D26" t="s" s="5">
        <v>192</v>
      </c>
    </row>
    <row r="27">
      <c r="B27" t="s" s="3">
        <v>208</v>
      </c>
      <c r="C27" s="3"/>
      <c r="D27" s="3"/>
    </row>
    <row r="28">
      <c r="B28" s="4"/>
      <c r="C28" t="s" s="4">
        <v>5</v>
      </c>
      <c r="D28" t="s" s="5">
        <v>208</v>
      </c>
    </row>
    <row r="29">
      <c r="B29" t="s" s="3">
        <v>221</v>
      </c>
      <c r="C29" s="3"/>
      <c r="D29" s="3"/>
    </row>
    <row r="30">
      <c r="B30" s="4"/>
      <c r="C30" t="s" s="4">
        <v>5</v>
      </c>
      <c r="D30" t="s" s="5">
        <v>221</v>
      </c>
    </row>
  </sheetData>
  <mergeCells count="1">
    <mergeCell ref="B3:D3"/>
  </mergeCells>
  <hyperlinks>
    <hyperlink ref="D10" location="'2015'!R1C1" tooltip="" display="2015"/>
    <hyperlink ref="D12" location="'2016'!R1C1" tooltip="" display="2016"/>
    <hyperlink ref="D14" location="'2017'!R1C1" tooltip="" display="2017"/>
    <hyperlink ref="D16" location="'2018'!R1C1" tooltip="" display="2018"/>
    <hyperlink ref="D18" location="'2019'!R1C1" tooltip="" display="2019"/>
    <hyperlink ref="D20" location="'2020'!R1C1" tooltip="" display="2020"/>
    <hyperlink ref="D22" location="'2021'!R1C1" tooltip="" display="2021"/>
    <hyperlink ref="D24" location="'2022'!R1C1" tooltip="" display="2022"/>
    <hyperlink ref="D26" location="'2023'!R1C1" tooltip="" display="2023"/>
    <hyperlink ref="D28" location="'2024'!R1C1" tooltip="" display="2024"/>
    <hyperlink ref="D30" location="'2025'!R1C1" tooltip="" display="2025"/>
  </hyperlinks>
</worksheet>
</file>

<file path=xl/worksheets/sheet2.xml><?xml version="1.0" encoding="utf-8"?>
<worksheet xmlns:r="http://schemas.openxmlformats.org/officeDocument/2006/relationships" xmlns="http://schemas.openxmlformats.org/spreadsheetml/2006/main">
  <dimension ref="A1:O189"/>
  <sheetViews>
    <sheetView workbookViewId="0" showGridLines="0" defaultGridColor="1"/>
  </sheetViews>
  <sheetFormatPr defaultColWidth="12.5" defaultRowHeight="15" customHeight="1" outlineLevelRow="0" outlineLevelCol="0"/>
  <cols>
    <col min="1" max="1" width="25.5" style="6" customWidth="1"/>
    <col min="2" max="3" width="13.5" style="6" customWidth="1"/>
    <col min="4" max="4" width="17.3516" style="6" customWidth="1"/>
    <col min="5" max="5" width="15" style="6" customWidth="1"/>
    <col min="6" max="9" width="14.6719" style="6" customWidth="1"/>
    <col min="10" max="13" width="16.5" style="6" customWidth="1"/>
    <col min="14" max="14" width="17.3516" style="6" customWidth="1"/>
    <col min="15" max="15" width="13.5" style="6" customWidth="1"/>
    <col min="16" max="16384" width="12.5" style="6" customWidth="1"/>
  </cols>
  <sheetData>
    <row r="1" ht="23" customHeight="1">
      <c r="A1" t="s" s="7">
        <v>6</v>
      </c>
      <c r="B1" s="8"/>
      <c r="C1" s="8"/>
      <c r="D1" s="9"/>
      <c r="E1" s="9"/>
      <c r="F1" s="9"/>
      <c r="G1" s="9"/>
      <c r="H1" s="9"/>
      <c r="I1" s="9"/>
      <c r="J1" s="9"/>
      <c r="K1" s="9"/>
      <c r="L1" s="9"/>
      <c r="M1" s="9"/>
      <c r="N1" s="10"/>
      <c r="O1" s="11"/>
    </row>
    <row r="2" ht="23" customHeight="1">
      <c r="A2" t="s" s="7">
        <v>7</v>
      </c>
      <c r="B2" s="8"/>
      <c r="C2" s="8"/>
      <c r="D2" s="12"/>
      <c r="E2" s="12"/>
      <c r="F2" s="12"/>
      <c r="G2" s="12"/>
      <c r="H2" s="12"/>
      <c r="I2" s="12"/>
      <c r="J2" s="12"/>
      <c r="K2" s="12"/>
      <c r="L2" s="12"/>
      <c r="M2" s="12"/>
      <c r="N2" s="10"/>
      <c r="O2" s="11"/>
    </row>
    <row r="3" ht="15" customHeight="1">
      <c r="A3" s="13"/>
      <c r="B3" s="13"/>
      <c r="C3" s="13"/>
      <c r="D3" s="13"/>
      <c r="E3" s="13"/>
      <c r="F3" s="13"/>
      <c r="G3" s="13"/>
      <c r="H3" s="13"/>
      <c r="I3" s="13"/>
      <c r="J3" s="13"/>
      <c r="K3" s="13"/>
      <c r="L3" s="13"/>
      <c r="M3" s="13"/>
      <c r="N3" s="10"/>
      <c r="O3" s="11"/>
    </row>
    <row r="4" ht="15" customHeight="1">
      <c r="A4" t="s" s="14">
        <v>8</v>
      </c>
      <c r="B4" t="s" s="14">
        <v>9</v>
      </c>
      <c r="C4" t="s" s="14">
        <v>10</v>
      </c>
      <c r="D4" t="s" s="14">
        <v>11</v>
      </c>
      <c r="E4" t="s" s="14">
        <v>12</v>
      </c>
      <c r="F4" t="s" s="14">
        <v>13</v>
      </c>
      <c r="G4" t="s" s="14">
        <v>14</v>
      </c>
      <c r="H4" t="s" s="14">
        <v>15</v>
      </c>
      <c r="I4" t="s" s="14">
        <v>16</v>
      </c>
      <c r="J4" t="s" s="14">
        <v>17</v>
      </c>
      <c r="K4" t="s" s="14">
        <v>18</v>
      </c>
      <c r="L4" t="s" s="14">
        <v>19</v>
      </c>
      <c r="M4" t="s" s="14">
        <v>20</v>
      </c>
      <c r="N4" t="s" s="15">
        <v>21</v>
      </c>
      <c r="O4" s="16"/>
    </row>
    <row r="5" ht="15" customHeight="1">
      <c r="A5" s="17">
        <v>1</v>
      </c>
      <c r="B5" s="18">
        <v>5560250</v>
      </c>
      <c r="C5" s="18" cm="1">
        <f t="array" ref="C5">13105700+2140400</f>
        <v>15246100</v>
      </c>
      <c r="D5" s="18" cm="1">
        <f t="array" ref="D5">31506550+2385700</f>
        <v>33892250</v>
      </c>
      <c r="E5" s="18" cm="1">
        <f t="array" ref="E5">21189950+2980200</f>
        <v>24170150</v>
      </c>
      <c r="F5" s="18">
        <v>28605885</v>
      </c>
      <c r="G5" s="18">
        <v>31561800</v>
      </c>
      <c r="H5" s="18">
        <v>35590150</v>
      </c>
      <c r="I5" s="18">
        <v>50821075</v>
      </c>
      <c r="J5" s="18">
        <v>37369250</v>
      </c>
      <c r="K5" s="18">
        <v>36810350</v>
      </c>
      <c r="L5" s="18">
        <v>27224470</v>
      </c>
      <c r="M5" s="18">
        <v>51748745</v>
      </c>
      <c r="N5" s="19"/>
      <c r="O5" s="11"/>
    </row>
    <row r="6" ht="15" customHeight="1">
      <c r="A6" s="17">
        <v>2</v>
      </c>
      <c r="B6" s="18">
        <v>8615000</v>
      </c>
      <c r="C6" s="18" cm="1">
        <f t="array" ref="C6">19137150+2970550</f>
        <v>22107700</v>
      </c>
      <c r="D6" s="18" cm="1">
        <f t="array" ref="D6">24960150+3219200</f>
        <v>28179350</v>
      </c>
      <c r="E6" s="18" cm="1">
        <f t="array" ref="E6">30111250+2444000</f>
        <v>32555250</v>
      </c>
      <c r="F6" s="18">
        <v>36785517</v>
      </c>
      <c r="G6" s="18">
        <v>25368200</v>
      </c>
      <c r="H6" s="18">
        <v>30012172</v>
      </c>
      <c r="I6" s="18">
        <v>20892700</v>
      </c>
      <c r="J6" s="18">
        <v>22193950</v>
      </c>
      <c r="K6" s="18">
        <v>20679550</v>
      </c>
      <c r="L6" s="18" cm="1">
        <f t="array" ref="L6">45525650+70000+63000</f>
        <v>45658650</v>
      </c>
      <c r="M6" s="18">
        <v>30343150</v>
      </c>
      <c r="N6" s="19"/>
      <c r="O6" s="11"/>
    </row>
    <row r="7" ht="15" customHeight="1">
      <c r="A7" s="17">
        <v>3</v>
      </c>
      <c r="B7" s="18">
        <v>11168950</v>
      </c>
      <c r="C7" s="18" cm="1">
        <f t="array" ref="C7">9207050+588200</f>
        <v>9795250</v>
      </c>
      <c r="D7" s="18" cm="1">
        <f t="array" ref="D7">19648400+1827400</f>
        <v>21475800</v>
      </c>
      <c r="E7" s="18">
        <v>25326500</v>
      </c>
      <c r="F7" s="18">
        <v>35407572</v>
      </c>
      <c r="G7" s="18">
        <v>25291400</v>
      </c>
      <c r="H7" s="18">
        <v>25141600</v>
      </c>
      <c r="I7" s="18">
        <v>16096050</v>
      </c>
      <c r="J7" s="18">
        <v>29264442</v>
      </c>
      <c r="K7" s="18">
        <v>51415487</v>
      </c>
      <c r="L7" s="18">
        <v>45647750</v>
      </c>
      <c r="M7" s="18">
        <v>38031677</v>
      </c>
      <c r="N7" s="19"/>
      <c r="O7" s="11"/>
    </row>
    <row r="8" ht="15" customHeight="1">
      <c r="A8" s="17">
        <v>4</v>
      </c>
      <c r="B8" s="18"/>
      <c r="C8" s="18"/>
      <c r="D8" s="18" cm="1">
        <f t="array" ref="D8">14411182+2236050</f>
        <v>16647232</v>
      </c>
      <c r="E8" s="18">
        <v>28325500</v>
      </c>
      <c r="F8" s="18">
        <v>22230598</v>
      </c>
      <c r="G8" s="18">
        <v>17875850</v>
      </c>
      <c r="H8" s="18">
        <v>30834795</v>
      </c>
      <c r="I8" s="18">
        <v>33573500</v>
      </c>
      <c r="J8" s="18">
        <v>41725100</v>
      </c>
      <c r="K8" s="18">
        <v>35573750</v>
      </c>
      <c r="L8" s="18">
        <v>27013063</v>
      </c>
      <c r="M8" s="18">
        <v>31264800</v>
      </c>
      <c r="N8" s="19"/>
      <c r="O8" s="11"/>
    </row>
    <row r="9" ht="15" customHeight="1">
      <c r="A9" s="17">
        <v>5</v>
      </c>
      <c r="B9" s="18"/>
      <c r="C9" s="18"/>
      <c r="D9" s="18" cm="1">
        <f t="array" ref="D9">34523250+1657600</f>
        <v>36180850</v>
      </c>
      <c r="E9" s="18"/>
      <c r="F9" s="18">
        <v>32498950</v>
      </c>
      <c r="G9" s="18"/>
      <c r="H9" s="18"/>
      <c r="I9" s="18">
        <v>53670765</v>
      </c>
      <c r="J9" s="18"/>
      <c r="K9" s="18"/>
      <c r="L9" s="18">
        <v>50186800</v>
      </c>
      <c r="M9" s="18" cm="1">
        <f t="array" ref="M9">27683692+4207087</f>
        <v>31890779</v>
      </c>
      <c r="N9" s="19"/>
      <c r="O9" s="11"/>
    </row>
    <row r="10" ht="15" customHeight="1">
      <c r="A10" t="s" s="20">
        <v>22</v>
      </c>
      <c r="B10" s="18" cm="1">
        <f t="array" ref="B10">SUM(B5:B9)</f>
        <v>25344200</v>
      </c>
      <c r="C10" s="18" cm="1">
        <f t="array" ref="C10">SUM(C5:C9)</f>
        <v>47149050</v>
      </c>
      <c r="D10" s="18" cm="1">
        <f t="array" ref="D10">SUM(D5:D9)</f>
        <v>136375482</v>
      </c>
      <c r="E10" s="18" cm="1">
        <f t="array" ref="E10">SUM(E5:E9)</f>
        <v>110377400</v>
      </c>
      <c r="F10" s="18" cm="1">
        <f t="array" ref="F10">SUM(F5:F9)</f>
        <v>155528522</v>
      </c>
      <c r="G10" s="18" cm="1">
        <f t="array" ref="G10">SUM(G5:G9)</f>
        <v>100097250</v>
      </c>
      <c r="H10" s="18" cm="1">
        <f t="array" ref="H10">SUM(H5:H9)</f>
        <v>121578717</v>
      </c>
      <c r="I10" s="18" cm="1">
        <f t="array" ref="I10">SUM(I5:I9)</f>
        <v>175054090</v>
      </c>
      <c r="J10" s="18" cm="1">
        <f t="array" ref="J10">SUM(J5:J9)</f>
        <v>130552742</v>
      </c>
      <c r="K10" s="18" cm="1">
        <f t="array" ref="K10">SUM(K5:K9)</f>
        <v>144479137</v>
      </c>
      <c r="L10" s="18" cm="1">
        <f t="array" ref="L10">SUM(L5:L9)</f>
        <v>195730733</v>
      </c>
      <c r="M10" s="18" cm="1">
        <f t="array" ref="M10">SUM(M5:M9)</f>
        <v>183279151</v>
      </c>
      <c r="N10" s="19"/>
      <c r="O10" s="11"/>
    </row>
    <row r="11" ht="15" customHeight="1">
      <c r="A11" t="s" s="20">
        <v>23</v>
      </c>
      <c r="B11" s="18" cm="1">
        <f t="array" ref="B11">AVERAGE(B5:B9)</f>
        <v>8448066.66666667</v>
      </c>
      <c r="C11" s="18" cm="1">
        <f t="array" ref="C11">AVERAGE(C5:C9)</f>
        <v>15716350</v>
      </c>
      <c r="D11" s="18" cm="1">
        <f t="array" ref="D11">AVERAGE(D5:D9)</f>
        <v>27275096.4</v>
      </c>
      <c r="E11" s="18" cm="1">
        <f t="array" ref="E11">AVERAGE(E5:E9)</f>
        <v>27594350</v>
      </c>
      <c r="F11" s="18" cm="1">
        <f t="array" ref="F11">AVERAGE(F5:F9)</f>
        <v>31105704.4</v>
      </c>
      <c r="G11" s="18" cm="1">
        <f t="array" ref="G11">AVERAGE(G5:G9)</f>
        <v>25024312.5</v>
      </c>
      <c r="H11" s="18" cm="1">
        <f t="array" ref="H11">AVERAGE(H5:H9)</f>
        <v>30394679.25</v>
      </c>
      <c r="I11" s="18" cm="1">
        <f t="array" ref="I11">AVERAGE(I5:I9)</f>
        <v>35010818</v>
      </c>
      <c r="J11" s="18" cm="1">
        <f t="array" ref="J11">AVERAGE(J5:J9)</f>
        <v>32638185.5</v>
      </c>
      <c r="K11" s="18" cm="1">
        <f t="array" ref="K11">AVERAGE(K5:K9)</f>
        <v>36119784.25</v>
      </c>
      <c r="L11" s="18" cm="1">
        <f t="array" ref="L11">AVERAGE(L5:L9)</f>
        <v>39146146.6</v>
      </c>
      <c r="M11" s="18" cm="1">
        <f t="array" ref="M11">AVERAGE(M5:M9)</f>
        <v>36655830.2</v>
      </c>
      <c r="N11" s="21"/>
      <c r="O11" s="11"/>
    </row>
    <row r="12" ht="15" customHeight="1">
      <c r="A12" t="s" s="22">
        <v>24</v>
      </c>
      <c r="B12" s="23"/>
      <c r="C12" s="24" cm="1">
        <f t="array" ref="C12">C10/B10-1</f>
        <v>0.860348718839024</v>
      </c>
      <c r="D12" s="24" cm="1">
        <f t="array" ref="D12">D10/C10-1</f>
        <v>1.89243329399002</v>
      </c>
      <c r="E12" s="24" cm="1">
        <f t="array" ref="E12">E10/D10-1</f>
        <v>-0.19063604116171</v>
      </c>
      <c r="F12" s="24" cm="1">
        <f t="array" ref="F12">F10/E10-1</f>
        <v>0.409061293344471</v>
      </c>
      <c r="G12" s="24" cm="1">
        <f t="array" ref="G12">G10/F10-1</f>
        <v>-0.356405830179496</v>
      </c>
      <c r="H12" s="24" cm="1">
        <f t="array" ref="H12">H10/G10-1</f>
        <v>0.214605965698358</v>
      </c>
      <c r="I12" s="24" cm="1">
        <f t="array" ref="I12">I10/H10-1</f>
        <v>0.43984156371711</v>
      </c>
      <c r="J12" s="24" cm="1">
        <f t="array" ref="J12">J10/I10-1</f>
        <v>-0.254214842966537</v>
      </c>
      <c r="K12" s="24" cm="1">
        <f t="array" ref="K12">K10/J10-1</f>
        <v>0.106672558436191</v>
      </c>
      <c r="L12" s="24" cm="1">
        <f t="array" ref="L12">L10/K10-1</f>
        <v>0.354733541909238</v>
      </c>
      <c r="M12" s="24" cm="1">
        <f t="array" ref="M12">M10/L10-1</f>
        <v>-0.06361587579606109</v>
      </c>
      <c r="N12" s="10"/>
      <c r="O12" s="11"/>
    </row>
    <row r="13" ht="15" customHeight="1">
      <c r="A13" t="s" s="25">
        <v>25</v>
      </c>
      <c r="B13" s="26" cm="1">
        <f t="array" ref="B13">B10</f>
        <v>25344200</v>
      </c>
      <c r="C13" s="26" cm="1">
        <f t="array" ref="C13">C10+B13</f>
        <v>72493250</v>
      </c>
      <c r="D13" s="26" cm="1">
        <f t="array" ref="D13">D10+C13</f>
        <v>208868732</v>
      </c>
      <c r="E13" s="26" cm="1">
        <f t="array" ref="E13">E10+D13</f>
        <v>319246132</v>
      </c>
      <c r="F13" s="26" cm="1">
        <f t="array" ref="F13">F10+E13</f>
        <v>474774654</v>
      </c>
      <c r="G13" s="26" cm="1">
        <f t="array" ref="G13">G10+F13</f>
        <v>574871904</v>
      </c>
      <c r="H13" s="26" cm="1">
        <f t="array" ref="H13">H10+G13</f>
        <v>696450621</v>
      </c>
      <c r="I13" s="26" cm="1">
        <f t="array" ref="I13">I10+H13</f>
        <v>871504711</v>
      </c>
      <c r="J13" s="26" cm="1">
        <f t="array" ref="J13">J10+I13</f>
        <v>1002057453</v>
      </c>
      <c r="K13" s="26" cm="1">
        <f t="array" ref="K13">K10+J13</f>
        <v>1146536590</v>
      </c>
      <c r="L13" s="26" cm="1">
        <f t="array" ref="L13">L10+K13</f>
        <v>1342267323</v>
      </c>
      <c r="M13" s="26" cm="1">
        <f t="array" ref="M13">M10+L13</f>
        <v>1525546474</v>
      </c>
      <c r="N13" s="27" cm="1">
        <f t="array" ref="N13">M13/12</f>
        <v>127128872.833333</v>
      </c>
      <c r="O13" s="11"/>
    </row>
    <row r="14" ht="15" customHeight="1">
      <c r="A14" t="s" s="25">
        <v>26</v>
      </c>
      <c r="B14" s="28"/>
      <c r="C14" s="28"/>
      <c r="D14" s="28"/>
      <c r="E14" s="28"/>
      <c r="F14" s="28"/>
      <c r="G14" s="28"/>
      <c r="H14" s="28"/>
      <c r="I14" s="28"/>
      <c r="J14" s="28"/>
      <c r="K14" s="28"/>
      <c r="L14" s="28"/>
      <c r="M14" s="28"/>
      <c r="N14" s="10"/>
      <c r="O14" s="11"/>
    </row>
    <row r="15" ht="15" customHeight="1">
      <c r="A15" s="13"/>
      <c r="B15" s="29"/>
      <c r="C15" s="29"/>
      <c r="D15" s="29"/>
      <c r="E15" s="29"/>
      <c r="F15" s="13"/>
      <c r="G15" s="13"/>
      <c r="H15" s="13"/>
      <c r="I15" s="13"/>
      <c r="J15" s="13"/>
      <c r="K15" s="13"/>
      <c r="L15" s="13"/>
      <c r="M15" s="13"/>
      <c r="N15" s="10"/>
      <c r="O15" s="11"/>
    </row>
    <row r="16" ht="15" customHeight="1">
      <c r="A16" s="30"/>
      <c r="B16" s="23"/>
      <c r="C16" s="23"/>
      <c r="D16" s="23"/>
      <c r="E16" s="23"/>
      <c r="F16" s="23"/>
      <c r="G16" s="23"/>
      <c r="H16" s="23"/>
      <c r="I16" s="23"/>
      <c r="J16" s="23"/>
      <c r="K16" s="23"/>
      <c r="L16" s="23"/>
      <c r="M16" s="23"/>
      <c r="N16" s="27"/>
      <c r="O16" s="11"/>
    </row>
    <row r="17" ht="23" customHeight="1">
      <c r="A17" t="s" s="7">
        <v>6</v>
      </c>
      <c r="B17" s="8"/>
      <c r="C17" s="8"/>
      <c r="D17" s="9"/>
      <c r="E17" s="9"/>
      <c r="F17" s="9"/>
      <c r="G17" s="9"/>
      <c r="H17" s="9"/>
      <c r="I17" s="9"/>
      <c r="J17" s="9"/>
      <c r="K17" s="9"/>
      <c r="L17" s="9"/>
      <c r="M17" s="9"/>
      <c r="N17" s="27"/>
      <c r="O17" s="11"/>
    </row>
    <row r="18" ht="23" customHeight="1">
      <c r="A18" t="s" s="7">
        <v>27</v>
      </c>
      <c r="B18" s="8"/>
      <c r="C18" s="8"/>
      <c r="D18" s="12"/>
      <c r="E18" s="12"/>
      <c r="F18" s="12"/>
      <c r="G18" s="12"/>
      <c r="H18" s="12"/>
      <c r="I18" s="12"/>
      <c r="J18" s="12"/>
      <c r="K18" s="12"/>
      <c r="L18" s="12"/>
      <c r="M18" s="12"/>
      <c r="N18" s="27"/>
      <c r="O18" s="11"/>
    </row>
    <row r="19" ht="23" customHeight="1">
      <c r="A19" s="8"/>
      <c r="B19" s="8"/>
      <c r="C19" s="8"/>
      <c r="D19" s="9"/>
      <c r="E19" s="9"/>
      <c r="F19" s="9"/>
      <c r="G19" s="9"/>
      <c r="H19" s="9"/>
      <c r="I19" s="9"/>
      <c r="J19" s="9"/>
      <c r="K19" s="9"/>
      <c r="L19" s="9"/>
      <c r="M19" s="9"/>
      <c r="N19" s="27"/>
      <c r="O19" s="11"/>
    </row>
    <row r="20" ht="15" customHeight="1">
      <c r="A20" s="13"/>
      <c r="B20" s="13"/>
      <c r="C20" s="13"/>
      <c r="D20" s="13"/>
      <c r="E20" s="13"/>
      <c r="F20" s="13"/>
      <c r="G20" s="31"/>
      <c r="H20" s="13"/>
      <c r="I20" s="13"/>
      <c r="J20" s="13"/>
      <c r="K20" s="13"/>
      <c r="L20" s="13"/>
      <c r="M20" s="13"/>
      <c r="N20" s="26"/>
      <c r="O20" s="11"/>
    </row>
    <row r="21" ht="15" customHeight="1">
      <c r="A21" t="s" s="32">
        <v>28</v>
      </c>
      <c r="B21" t="s" s="14">
        <v>9</v>
      </c>
      <c r="C21" t="s" s="14">
        <v>10</v>
      </c>
      <c r="D21" t="s" s="14">
        <v>11</v>
      </c>
      <c r="E21" t="s" s="14">
        <v>12</v>
      </c>
      <c r="F21" t="s" s="14">
        <v>13</v>
      </c>
      <c r="G21" t="s" s="14">
        <v>14</v>
      </c>
      <c r="H21" t="s" s="14">
        <v>15</v>
      </c>
      <c r="I21" t="s" s="14">
        <v>16</v>
      </c>
      <c r="J21" t="s" s="14">
        <v>17</v>
      </c>
      <c r="K21" t="s" s="14">
        <v>18</v>
      </c>
      <c r="L21" t="s" s="14">
        <v>19</v>
      </c>
      <c r="M21" t="s" s="14">
        <v>20</v>
      </c>
      <c r="N21" t="s" s="15">
        <v>21</v>
      </c>
      <c r="O21" s="11"/>
    </row>
    <row r="22" ht="15" customHeight="1">
      <c r="A22" t="s" s="33">
        <v>29</v>
      </c>
      <c r="B22" s="17">
        <v>331</v>
      </c>
      <c r="C22" s="17">
        <v>643</v>
      </c>
      <c r="D22" s="17">
        <v>853</v>
      </c>
      <c r="E22" s="17">
        <v>847</v>
      </c>
      <c r="F22" s="17">
        <v>858</v>
      </c>
      <c r="G22" s="17">
        <v>905</v>
      </c>
      <c r="H22" s="17">
        <v>984</v>
      </c>
      <c r="I22" s="17">
        <v>998</v>
      </c>
      <c r="J22" s="17">
        <v>911</v>
      </c>
      <c r="K22" s="17">
        <v>964</v>
      </c>
      <c r="L22" s="17">
        <v>914</v>
      </c>
      <c r="M22" s="17">
        <v>784</v>
      </c>
      <c r="N22" s="34" cm="1">
        <f t="array" ref="N22">AVERAGE(B22:M22)</f>
        <v>832.666666666667</v>
      </c>
      <c r="O22" s="11"/>
    </row>
    <row r="23" ht="15" customHeight="1">
      <c r="A23" t="s" s="33">
        <v>30</v>
      </c>
      <c r="B23" s="17">
        <v>28</v>
      </c>
      <c r="C23" s="17">
        <v>81</v>
      </c>
      <c r="D23" s="17">
        <v>99</v>
      </c>
      <c r="E23" s="17">
        <v>104</v>
      </c>
      <c r="F23" s="17">
        <v>71</v>
      </c>
      <c r="G23" s="17">
        <v>90</v>
      </c>
      <c r="H23" s="17">
        <v>101</v>
      </c>
      <c r="I23" s="17">
        <v>85</v>
      </c>
      <c r="J23" s="17">
        <v>87</v>
      </c>
      <c r="K23" s="17">
        <v>84</v>
      </c>
      <c r="L23" s="17">
        <v>60</v>
      </c>
      <c r="M23" s="17">
        <v>78</v>
      </c>
      <c r="N23" s="34" cm="1">
        <f t="array" ref="N23">AVERAGE(B23:M23)</f>
        <v>80.6666666666667</v>
      </c>
      <c r="O23" s="11"/>
    </row>
    <row r="24" ht="15" customHeight="1">
      <c r="A24" t="s" s="33">
        <v>31</v>
      </c>
      <c r="B24" s="35"/>
      <c r="C24" s="35"/>
      <c r="D24" s="17">
        <v>172</v>
      </c>
      <c r="E24" s="17">
        <v>132</v>
      </c>
      <c r="F24" s="35"/>
      <c r="G24" s="35"/>
      <c r="H24" s="35"/>
      <c r="I24" s="35"/>
      <c r="J24" s="35"/>
      <c r="K24" s="35"/>
      <c r="L24" s="35"/>
      <c r="M24" s="35"/>
      <c r="N24" s="34" cm="1">
        <f t="array" ref="N24">AVERAGE(B24:M24)</f>
        <v>152</v>
      </c>
      <c r="O24" s="11"/>
    </row>
    <row r="25" ht="15" customHeight="1">
      <c r="A25" t="s" s="33">
        <v>32</v>
      </c>
      <c r="B25" s="17" cm="1">
        <f t="array" ref="B25">9+272</f>
        <v>281</v>
      </c>
      <c r="C25" s="17" cm="1">
        <f t="array" ref="C25">27+526</f>
        <v>553</v>
      </c>
      <c r="D25" s="17" cm="1">
        <f t="array" ref="D25">47+882+24</f>
        <v>953</v>
      </c>
      <c r="E25" s="17" cm="1">
        <f t="array" ref="E25">49+656+9</f>
        <v>714</v>
      </c>
      <c r="F25" s="17" cm="1">
        <f t="array" ref="F25">36+670+28</f>
        <v>734</v>
      </c>
      <c r="G25" s="17" cm="1">
        <f t="array" ref="G25">859+51+28</f>
        <v>938</v>
      </c>
      <c r="H25" s="17" cm="1">
        <f t="array" ref="H25">46+5+633</f>
        <v>684</v>
      </c>
      <c r="I25" s="17" cm="1">
        <f t="array" ref="I25">46+733+18</f>
        <v>797</v>
      </c>
      <c r="J25" s="17" cm="1">
        <f t="array" ref="J25">56+923+19</f>
        <v>998</v>
      </c>
      <c r="K25" s="17" cm="1">
        <f t="array" ref="K25">48+713+30</f>
        <v>791</v>
      </c>
      <c r="L25" s="17" cm="1">
        <f t="array" ref="L25">24+774+10</f>
        <v>808</v>
      </c>
      <c r="M25" s="17" cm="1">
        <f t="array" ref="M25">100+910+26</f>
        <v>1036</v>
      </c>
      <c r="N25" s="34" cm="1">
        <f t="array" ref="N25">AVERAGE(B25:M25)</f>
        <v>773.916666666667</v>
      </c>
      <c r="O25" s="11"/>
    </row>
    <row r="26" ht="15" customHeight="1">
      <c r="A26" t="s" s="33">
        <v>33</v>
      </c>
      <c r="B26" s="17">
        <v>82</v>
      </c>
      <c r="C26" s="17">
        <v>155</v>
      </c>
      <c r="D26" s="17">
        <v>156</v>
      </c>
      <c r="E26" s="17">
        <v>139</v>
      </c>
      <c r="F26" s="17">
        <v>162</v>
      </c>
      <c r="G26" s="17">
        <v>170</v>
      </c>
      <c r="H26" s="17">
        <v>174</v>
      </c>
      <c r="I26" s="17">
        <v>166</v>
      </c>
      <c r="J26" s="17">
        <v>187</v>
      </c>
      <c r="K26" s="17">
        <v>188</v>
      </c>
      <c r="L26" s="17">
        <v>182</v>
      </c>
      <c r="M26" s="17">
        <v>159</v>
      </c>
      <c r="N26" s="34" cm="1">
        <f t="array" ref="N26">AVERAGE(B26:M26)</f>
        <v>160</v>
      </c>
      <c r="O26" s="11"/>
    </row>
    <row r="27" ht="15" customHeight="1">
      <c r="A27" t="s" s="33">
        <v>34</v>
      </c>
      <c r="B27" s="35"/>
      <c r="C27" s="35"/>
      <c r="D27" s="35"/>
      <c r="E27" s="35"/>
      <c r="F27" s="35"/>
      <c r="G27" s="35"/>
      <c r="H27" s="35"/>
      <c r="I27" s="35"/>
      <c r="J27" s="35"/>
      <c r="K27" s="35"/>
      <c r="L27" s="35"/>
      <c r="M27" s="35"/>
      <c r="N27" s="36"/>
      <c r="O27" s="11"/>
    </row>
    <row r="28" ht="15" customHeight="1">
      <c r="A28" s="37"/>
      <c r="B28" s="37"/>
      <c r="C28" s="37"/>
      <c r="D28" s="37"/>
      <c r="E28" s="37"/>
      <c r="F28" s="37"/>
      <c r="G28" s="37"/>
      <c r="H28" s="37"/>
      <c r="I28" s="37"/>
      <c r="J28" s="37"/>
      <c r="K28" s="37"/>
      <c r="L28" s="37"/>
      <c r="M28" s="37"/>
      <c r="N28" s="11"/>
      <c r="O28" s="11"/>
    </row>
    <row r="29" ht="15" customHeight="1">
      <c r="A29" t="s" s="32">
        <v>28</v>
      </c>
      <c r="B29" t="s" s="14">
        <v>9</v>
      </c>
      <c r="C29" t="s" s="14">
        <v>10</v>
      </c>
      <c r="D29" t="s" s="14">
        <v>11</v>
      </c>
      <c r="E29" t="s" s="14">
        <v>12</v>
      </c>
      <c r="F29" t="s" s="14">
        <v>13</v>
      </c>
      <c r="G29" t="s" s="14">
        <v>14</v>
      </c>
      <c r="H29" t="s" s="14">
        <v>15</v>
      </c>
      <c r="I29" t="s" s="14">
        <v>16</v>
      </c>
      <c r="J29" t="s" s="14">
        <v>17</v>
      </c>
      <c r="K29" t="s" s="14">
        <v>18</v>
      </c>
      <c r="L29" t="s" s="14">
        <v>19</v>
      </c>
      <c r="M29" t="s" s="14">
        <v>20</v>
      </c>
      <c r="N29" t="s" s="15">
        <v>21</v>
      </c>
      <c r="O29" s="11"/>
    </row>
    <row r="30" ht="15" customHeight="1">
      <c r="A30" t="s" s="33">
        <v>35</v>
      </c>
      <c r="B30" s="17">
        <v>38</v>
      </c>
      <c r="C30" s="17">
        <v>43</v>
      </c>
      <c r="D30" s="17" cm="1">
        <f t="array" ref="D30">19+2+73</f>
        <v>94</v>
      </c>
      <c r="E30" s="17" cm="1">
        <f t="array" ref="E30">12+63</f>
        <v>75</v>
      </c>
      <c r="F30" s="17" cm="1">
        <f t="array" ref="F30">10+64</f>
        <v>74</v>
      </c>
      <c r="G30" s="17" cm="1">
        <f t="array" ref="G30">6+82</f>
        <v>88</v>
      </c>
      <c r="H30" s="17" cm="1">
        <f t="array" ref="H30">87+8</f>
        <v>95</v>
      </c>
      <c r="I30" s="17" cm="1">
        <f t="array" ref="I30">4+62+1</f>
        <v>67</v>
      </c>
      <c r="J30" s="17" cm="1">
        <f t="array" ref="J30">13+66</f>
        <v>79</v>
      </c>
      <c r="K30" s="17" cm="1">
        <f t="array" ref="K30">7+57</f>
        <v>64</v>
      </c>
      <c r="L30" s="17" cm="1">
        <f t="array" ref="L30">10+77</f>
        <v>87</v>
      </c>
      <c r="M30" s="17" cm="1">
        <f t="array" ref="M30">7+51</f>
        <v>58</v>
      </c>
      <c r="N30" s="34" cm="1">
        <f t="array" ref="N30">AVERAGE(B30:M30)</f>
        <v>71.8333333333333</v>
      </c>
      <c r="O30" s="11"/>
    </row>
    <row r="31" ht="15" customHeight="1">
      <c r="A31" t="s" s="33">
        <v>36</v>
      </c>
      <c r="B31" s="35"/>
      <c r="C31" s="17">
        <v>28</v>
      </c>
      <c r="D31" s="17">
        <v>23</v>
      </c>
      <c r="E31" s="17">
        <v>36</v>
      </c>
      <c r="F31" s="17">
        <v>14</v>
      </c>
      <c r="G31" s="17">
        <v>21</v>
      </c>
      <c r="H31" s="17">
        <v>25</v>
      </c>
      <c r="I31" s="17">
        <v>27</v>
      </c>
      <c r="J31" s="17">
        <v>53</v>
      </c>
      <c r="K31" s="17">
        <v>28</v>
      </c>
      <c r="L31" s="17">
        <v>21</v>
      </c>
      <c r="M31" s="35"/>
      <c r="N31" s="34" cm="1">
        <f t="array" ref="N31">AVERAGE(B31:M31)</f>
        <v>27.6</v>
      </c>
      <c r="O31" s="11"/>
    </row>
    <row r="32" ht="15" customHeight="1">
      <c r="A32" t="s" s="33">
        <v>37</v>
      </c>
      <c r="B32" s="38"/>
      <c r="C32" s="38"/>
      <c r="D32" s="17">
        <v>6</v>
      </c>
      <c r="E32" s="17">
        <v>10</v>
      </c>
      <c r="F32" s="17">
        <v>15</v>
      </c>
      <c r="G32" s="35"/>
      <c r="H32" s="35"/>
      <c r="I32" s="35"/>
      <c r="J32" s="17">
        <v>20</v>
      </c>
      <c r="K32" s="35"/>
      <c r="L32" s="35"/>
      <c r="M32" s="35"/>
      <c r="N32" s="34" cm="1">
        <f t="array" ref="N32">AVERAGE(B32:M32)</f>
        <v>12.75</v>
      </c>
      <c r="O32" s="11"/>
    </row>
    <row r="33" ht="15" customHeight="1">
      <c r="A33" t="s" s="33">
        <v>38</v>
      </c>
      <c r="B33" s="17">
        <v>64</v>
      </c>
      <c r="C33" s="17">
        <v>64</v>
      </c>
      <c r="D33" s="17">
        <v>64</v>
      </c>
      <c r="E33" s="17">
        <v>64</v>
      </c>
      <c r="F33" s="17">
        <v>64</v>
      </c>
      <c r="G33" s="17">
        <v>64</v>
      </c>
      <c r="H33" s="17">
        <v>64</v>
      </c>
      <c r="I33" s="17">
        <v>123</v>
      </c>
      <c r="J33" s="17">
        <v>123</v>
      </c>
      <c r="K33" s="17">
        <v>123</v>
      </c>
      <c r="L33" s="17">
        <v>123</v>
      </c>
      <c r="M33" s="17">
        <v>123</v>
      </c>
      <c r="N33" s="34" cm="1">
        <f t="array" ref="N33">AVERAGE(B33:M33)</f>
        <v>88.5833333333333</v>
      </c>
      <c r="O33" s="11"/>
    </row>
    <row r="34" ht="15" customHeight="1">
      <c r="A34" s="39"/>
      <c r="B34" s="35"/>
      <c r="C34" s="35"/>
      <c r="D34" s="35"/>
      <c r="E34" s="35"/>
      <c r="F34" s="35"/>
      <c r="G34" s="35"/>
      <c r="H34" s="35"/>
      <c r="I34" s="35"/>
      <c r="J34" s="35"/>
      <c r="K34" s="35"/>
      <c r="L34" s="35"/>
      <c r="M34" s="35"/>
      <c r="N34" s="36"/>
      <c r="O34" s="11"/>
    </row>
    <row r="35" ht="15" customHeight="1">
      <c r="A35" t="s" s="32">
        <v>28</v>
      </c>
      <c r="B35" t="s" s="14">
        <v>9</v>
      </c>
      <c r="C35" t="s" s="14">
        <v>10</v>
      </c>
      <c r="D35" t="s" s="14">
        <v>11</v>
      </c>
      <c r="E35" t="s" s="14">
        <v>12</v>
      </c>
      <c r="F35" t="s" s="14">
        <v>13</v>
      </c>
      <c r="G35" t="s" s="14">
        <v>14</v>
      </c>
      <c r="H35" t="s" s="14">
        <v>15</v>
      </c>
      <c r="I35" t="s" s="14">
        <v>16</v>
      </c>
      <c r="J35" t="s" s="14">
        <v>17</v>
      </c>
      <c r="K35" t="s" s="14">
        <v>18</v>
      </c>
      <c r="L35" t="s" s="14">
        <v>19</v>
      </c>
      <c r="M35" t="s" s="14">
        <v>20</v>
      </c>
      <c r="N35" t="s" s="15">
        <v>21</v>
      </c>
      <c r="O35" s="11"/>
    </row>
    <row r="36" ht="15" customHeight="1">
      <c r="A36" t="s" s="33">
        <v>39</v>
      </c>
      <c r="B36" s="17">
        <v>97</v>
      </c>
      <c r="C36" s="17">
        <v>116</v>
      </c>
      <c r="D36" s="17">
        <v>147</v>
      </c>
      <c r="E36" s="17">
        <v>139</v>
      </c>
      <c r="F36" s="17">
        <v>131</v>
      </c>
      <c r="G36" s="17">
        <v>130</v>
      </c>
      <c r="H36" s="17">
        <v>145</v>
      </c>
      <c r="I36" s="17">
        <v>167</v>
      </c>
      <c r="J36" s="17">
        <v>155</v>
      </c>
      <c r="K36" s="17">
        <v>142</v>
      </c>
      <c r="L36" s="17">
        <v>176</v>
      </c>
      <c r="M36" s="17">
        <v>176</v>
      </c>
      <c r="N36" s="34" cm="1">
        <f t="array" ref="N36">AVERAGE(B36:M36)</f>
        <v>143.416666666667</v>
      </c>
      <c r="O36" s="11"/>
    </row>
    <row r="37" ht="15" customHeight="1">
      <c r="A37" t="s" s="33">
        <v>40</v>
      </c>
      <c r="B37" s="35"/>
      <c r="C37" s="17">
        <v>156</v>
      </c>
      <c r="D37" s="17">
        <v>182</v>
      </c>
      <c r="E37" s="17">
        <v>174</v>
      </c>
      <c r="F37" s="17">
        <v>222</v>
      </c>
      <c r="G37" s="17">
        <v>204</v>
      </c>
      <c r="H37" s="17">
        <v>203</v>
      </c>
      <c r="I37" s="17">
        <v>239</v>
      </c>
      <c r="J37" s="17">
        <v>242</v>
      </c>
      <c r="K37" s="17">
        <v>132</v>
      </c>
      <c r="L37" s="17">
        <v>112</v>
      </c>
      <c r="M37" s="17">
        <v>112</v>
      </c>
      <c r="N37" s="34" cm="1">
        <f t="array" ref="N37">AVERAGE(B37:M37)</f>
        <v>179.818181818182</v>
      </c>
      <c r="O37" s="11"/>
    </row>
    <row r="38" ht="15" customHeight="1">
      <c r="A38" t="s" s="33">
        <v>41</v>
      </c>
      <c r="B38" s="35"/>
      <c r="C38" s="35"/>
      <c r="D38" s="17">
        <v>120</v>
      </c>
      <c r="E38" s="17">
        <v>94</v>
      </c>
      <c r="F38" s="17">
        <v>94</v>
      </c>
      <c r="G38" s="17">
        <v>94</v>
      </c>
      <c r="H38" s="17">
        <v>94</v>
      </c>
      <c r="I38" s="17">
        <v>110</v>
      </c>
      <c r="J38" s="17">
        <v>100</v>
      </c>
      <c r="K38" s="17">
        <v>32</v>
      </c>
      <c r="L38" s="17">
        <v>100</v>
      </c>
      <c r="M38" s="17">
        <v>100</v>
      </c>
      <c r="N38" s="34" cm="1">
        <f t="array" ref="N38">AVERAGE(B38:M38)</f>
        <v>93.8</v>
      </c>
      <c r="O38" s="11"/>
    </row>
    <row r="39" ht="15" customHeight="1">
      <c r="A39" t="s" s="33">
        <v>42</v>
      </c>
      <c r="B39" s="39"/>
      <c r="C39" s="17">
        <v>80</v>
      </c>
      <c r="D39" s="17">
        <v>90</v>
      </c>
      <c r="E39" s="17">
        <v>90</v>
      </c>
      <c r="F39" s="17">
        <v>120</v>
      </c>
      <c r="G39" s="39"/>
      <c r="H39" s="39"/>
      <c r="I39" s="40">
        <v>110</v>
      </c>
      <c r="J39" s="39"/>
      <c r="K39" s="39"/>
      <c r="L39" s="39"/>
      <c r="M39" s="39"/>
      <c r="N39" s="34" cm="1">
        <f t="array" ref="N39">AVERAGE(B39:M39)</f>
        <v>98</v>
      </c>
      <c r="O39" s="11"/>
    </row>
    <row r="40" ht="15" customHeight="1">
      <c r="A40" t="s" s="33">
        <v>43</v>
      </c>
      <c r="B40" s="39"/>
      <c r="C40" s="35"/>
      <c r="D40" s="35"/>
      <c r="E40" s="35"/>
      <c r="F40" s="35"/>
      <c r="G40" s="39"/>
      <c r="H40" s="39"/>
      <c r="I40" s="39"/>
      <c r="J40" s="40">
        <v>15</v>
      </c>
      <c r="K40" s="40">
        <v>25</v>
      </c>
      <c r="L40" s="40">
        <v>25</v>
      </c>
      <c r="M40" s="40">
        <v>25</v>
      </c>
      <c r="N40" s="34" cm="1">
        <f t="array" ref="N40">AVERAGE(B40:M40)</f>
        <v>22.5</v>
      </c>
      <c r="O40" s="11"/>
    </row>
    <row r="41" ht="15" customHeight="1">
      <c r="A41" t="s" s="33">
        <v>33</v>
      </c>
      <c r="B41" s="40" cm="1">
        <f t="array" ref="B41">B26</f>
        <v>82</v>
      </c>
      <c r="C41" s="40" cm="1">
        <f t="array" ref="C41">C26</f>
        <v>155</v>
      </c>
      <c r="D41" s="40" cm="1">
        <f t="array" ref="D41">D26</f>
        <v>156</v>
      </c>
      <c r="E41" s="40" cm="1">
        <f t="array" ref="E41">E26</f>
        <v>139</v>
      </c>
      <c r="F41" s="40" cm="1">
        <f t="array" ref="F41">F26</f>
        <v>162</v>
      </c>
      <c r="G41" s="40" cm="1">
        <f t="array" ref="G41">G26</f>
        <v>170</v>
      </c>
      <c r="H41" s="40" cm="1">
        <f t="array" ref="H41">H26</f>
        <v>174</v>
      </c>
      <c r="I41" s="40" cm="1">
        <f t="array" ref="I41">I26</f>
        <v>166</v>
      </c>
      <c r="J41" s="40" cm="1">
        <f t="array" ref="J41">J26</f>
        <v>187</v>
      </c>
      <c r="K41" s="40" cm="1">
        <f t="array" ref="K41">K26</f>
        <v>188</v>
      </c>
      <c r="L41" s="40" cm="1">
        <f t="array" ref="L41">L26</f>
        <v>182</v>
      </c>
      <c r="M41" s="40" cm="1">
        <f t="array" ref="M41">M26</f>
        <v>159</v>
      </c>
      <c r="N41" s="34" cm="1">
        <f t="array" ref="N41">AVERAGE(B41:M41)</f>
        <v>160</v>
      </c>
      <c r="O41" s="11"/>
    </row>
    <row r="42" ht="15" customHeight="1">
      <c r="A42" t="s" s="33">
        <v>44</v>
      </c>
      <c r="B42" s="40" cm="1">
        <f t="array" ref="B42">SUM(B36:B40)</f>
        <v>97</v>
      </c>
      <c r="C42" s="40" cm="1">
        <f t="array" ref="C42">SUM(C36:C40)</f>
        <v>352</v>
      </c>
      <c r="D42" s="40" cm="1">
        <f t="array" ref="D42">SUM(D36:D40)</f>
        <v>539</v>
      </c>
      <c r="E42" s="40" cm="1">
        <f t="array" ref="E42">SUM(E36:E40)</f>
        <v>497</v>
      </c>
      <c r="F42" s="40" cm="1">
        <f t="array" ref="F42">SUM(F36:F40)</f>
        <v>567</v>
      </c>
      <c r="G42" s="40" cm="1">
        <f t="array" ref="G42">SUM(G36:G40)</f>
        <v>428</v>
      </c>
      <c r="H42" s="40" cm="1">
        <f t="array" ref="H42">SUM(H36:H40)</f>
        <v>442</v>
      </c>
      <c r="I42" s="40" cm="1">
        <f t="array" ref="I42">SUM(I36:I40)</f>
        <v>626</v>
      </c>
      <c r="J42" s="40" cm="1">
        <f t="array" ref="J42">SUM(J36:J40)</f>
        <v>512</v>
      </c>
      <c r="K42" s="40" cm="1">
        <f t="array" ref="K42">SUM(K36:K40)</f>
        <v>331</v>
      </c>
      <c r="L42" s="40" cm="1">
        <f t="array" ref="L42">SUM(L36:L40)</f>
        <v>413</v>
      </c>
      <c r="M42" s="40" cm="1">
        <f t="array" ref="M42">SUM(M36:M40)</f>
        <v>413</v>
      </c>
      <c r="N42" s="34"/>
      <c r="O42" s="11"/>
    </row>
    <row r="43" ht="15" customHeight="1">
      <c r="A43" s="37"/>
      <c r="B43" s="37"/>
      <c r="C43" s="41"/>
      <c r="D43" s="41"/>
      <c r="E43" s="41"/>
      <c r="F43" s="41"/>
      <c r="G43" s="37"/>
      <c r="H43" s="37"/>
      <c r="I43" s="37"/>
      <c r="J43" s="37"/>
      <c r="K43" s="37"/>
      <c r="L43" s="37"/>
      <c r="M43" s="37"/>
      <c r="N43" s="11"/>
      <c r="O43" s="11"/>
    </row>
    <row r="44" ht="15" customHeight="1">
      <c r="A44" t="s" s="32">
        <v>28</v>
      </c>
      <c r="B44" t="s" s="14">
        <v>9</v>
      </c>
      <c r="C44" t="s" s="14">
        <v>10</v>
      </c>
      <c r="D44" t="s" s="14">
        <v>11</v>
      </c>
      <c r="E44" t="s" s="14">
        <v>12</v>
      </c>
      <c r="F44" t="s" s="14">
        <v>13</v>
      </c>
      <c r="G44" t="s" s="14">
        <v>14</v>
      </c>
      <c r="H44" t="s" s="14">
        <v>15</v>
      </c>
      <c r="I44" t="s" s="14">
        <v>16</v>
      </c>
      <c r="J44" t="s" s="14">
        <v>17</v>
      </c>
      <c r="K44" t="s" s="14">
        <v>18</v>
      </c>
      <c r="L44" t="s" s="14">
        <v>19</v>
      </c>
      <c r="M44" t="s" s="14">
        <v>20</v>
      </c>
      <c r="N44" s="36"/>
      <c r="O44" s="11"/>
    </row>
    <row r="45" ht="15" customHeight="1">
      <c r="A45" t="s" s="42">
        <v>45</v>
      </c>
      <c r="B45" s="43" cm="1">
        <f t="array" ref="B45">B42/$B$22</f>
        <v>0.293051359516616</v>
      </c>
      <c r="C45" s="43" cm="1">
        <f t="array" ref="C45">C42/C22</f>
        <v>0.547433903576983</v>
      </c>
      <c r="D45" s="43" cm="1">
        <f t="array" ref="D45">D42/D22</f>
        <v>0.6318874560375149</v>
      </c>
      <c r="E45" s="43" cm="1">
        <f t="array" ref="E45">E42/E22</f>
        <v>0.5867768595041321</v>
      </c>
      <c r="F45" s="43" cm="1">
        <f t="array" ref="F45">F42/F22</f>
        <v>0.6608391608391611</v>
      </c>
      <c r="G45" s="43" cm="1">
        <f t="array" ref="G45">G42/G22</f>
        <v>0.47292817679558</v>
      </c>
      <c r="H45" s="43" cm="1">
        <f t="array" ref="H45">H42/H22</f>
        <v>0.449186991869919</v>
      </c>
      <c r="I45" s="43" cm="1">
        <f t="array" ref="I45">I42/I22</f>
        <v>0.627254509018036</v>
      </c>
      <c r="J45" s="43" cm="1">
        <f t="array" ref="J45">J42/J22</f>
        <v>0.562019758507135</v>
      </c>
      <c r="K45" s="43" cm="1">
        <f t="array" ref="K45">K42/K22</f>
        <v>0.343360995850622</v>
      </c>
      <c r="L45" s="43" cm="1">
        <f t="array" ref="L45">L42/L22</f>
        <v>0.451859956236324</v>
      </c>
      <c r="M45" s="43" cm="1">
        <f t="array" ref="M45">M42/M22</f>
        <v>0.526785714285714</v>
      </c>
      <c r="N45" s="28" cm="1">
        <f t="array" ref="N45">AVERAGE(B45:M45)</f>
        <v>0.512782070169811</v>
      </c>
      <c r="O45" s="11"/>
    </row>
    <row r="46" ht="15" customHeight="1">
      <c r="A46" s="11"/>
      <c r="B46" s="11"/>
      <c r="C46" s="12"/>
      <c r="D46" s="12"/>
      <c r="E46" s="12"/>
      <c r="F46" s="12"/>
      <c r="G46" s="11"/>
      <c r="H46" s="11"/>
      <c r="I46" s="11"/>
      <c r="J46" s="11"/>
      <c r="K46" s="11"/>
      <c r="L46" s="11"/>
      <c r="M46" s="11"/>
      <c r="N46" s="11"/>
      <c r="O46" s="11"/>
    </row>
    <row r="47" ht="15" customHeight="1">
      <c r="A47" s="13"/>
      <c r="B47" s="13"/>
      <c r="C47" s="44"/>
      <c r="D47" s="44"/>
      <c r="E47" s="44"/>
      <c r="F47" s="44"/>
      <c r="G47" s="13"/>
      <c r="H47" s="13"/>
      <c r="I47" s="13"/>
      <c r="J47" s="13"/>
      <c r="K47" s="13"/>
      <c r="L47" s="13"/>
      <c r="M47" s="13"/>
      <c r="N47" s="11"/>
      <c r="O47" s="11"/>
    </row>
    <row r="48" ht="15" customHeight="1">
      <c r="A48" t="s" s="32">
        <v>46</v>
      </c>
      <c r="B48" t="s" s="14">
        <v>9</v>
      </c>
      <c r="C48" t="s" s="14">
        <v>10</v>
      </c>
      <c r="D48" t="s" s="14">
        <v>11</v>
      </c>
      <c r="E48" t="s" s="14">
        <v>12</v>
      </c>
      <c r="F48" t="s" s="14">
        <v>13</v>
      </c>
      <c r="G48" t="s" s="14">
        <v>14</v>
      </c>
      <c r="H48" t="s" s="14">
        <v>15</v>
      </c>
      <c r="I48" t="s" s="14">
        <v>16</v>
      </c>
      <c r="J48" t="s" s="14">
        <v>17</v>
      </c>
      <c r="K48" t="s" s="14">
        <v>18</v>
      </c>
      <c r="L48" t="s" s="14">
        <v>19</v>
      </c>
      <c r="M48" t="s" s="14">
        <v>20</v>
      </c>
      <c r="N48" s="36"/>
      <c r="O48" s="11"/>
    </row>
    <row r="49" ht="15" customHeight="1">
      <c r="A49" t="s" s="42">
        <v>47</v>
      </c>
      <c r="B49" s="45">
        <v>16</v>
      </c>
      <c r="C49" s="45">
        <v>17</v>
      </c>
      <c r="D49" s="45">
        <v>28</v>
      </c>
      <c r="E49" s="45">
        <v>35</v>
      </c>
      <c r="F49" s="45">
        <v>35</v>
      </c>
      <c r="G49" s="45">
        <v>35</v>
      </c>
      <c r="H49" s="45">
        <v>35</v>
      </c>
      <c r="I49" s="45">
        <v>38</v>
      </c>
      <c r="J49" s="45">
        <v>38</v>
      </c>
      <c r="K49" s="45">
        <v>38</v>
      </c>
      <c r="L49" s="45">
        <v>38</v>
      </c>
      <c r="M49" s="45">
        <v>38</v>
      </c>
      <c r="N49" s="11"/>
      <c r="O49" s="11"/>
    </row>
    <row r="50" ht="15" customHeight="1">
      <c r="A50" t="s" s="46">
        <v>48</v>
      </c>
      <c r="B50" s="47">
        <v>15</v>
      </c>
      <c r="C50" s="47">
        <v>15</v>
      </c>
      <c r="D50" s="47">
        <v>15</v>
      </c>
      <c r="E50" s="47">
        <v>20</v>
      </c>
      <c r="F50" s="47">
        <v>20</v>
      </c>
      <c r="G50" s="47">
        <v>25</v>
      </c>
      <c r="H50" s="47">
        <v>25</v>
      </c>
      <c r="I50" s="47">
        <v>30</v>
      </c>
      <c r="J50" s="47">
        <v>31</v>
      </c>
      <c r="K50" s="47">
        <v>31</v>
      </c>
      <c r="L50" s="47">
        <v>31</v>
      </c>
      <c r="M50" s="47">
        <v>31</v>
      </c>
      <c r="N50" s="11"/>
      <c r="O50" s="11"/>
    </row>
    <row r="51" ht="15" customHeight="1">
      <c r="A51" t="s" s="48">
        <v>49</v>
      </c>
      <c r="B51" s="49">
        <v>9</v>
      </c>
      <c r="C51" s="49">
        <v>9</v>
      </c>
      <c r="D51" s="49">
        <v>9</v>
      </c>
      <c r="E51" s="49">
        <v>12</v>
      </c>
      <c r="F51" s="49">
        <v>15</v>
      </c>
      <c r="G51" s="49">
        <v>15</v>
      </c>
      <c r="H51" s="49">
        <v>20</v>
      </c>
      <c r="I51" s="49">
        <v>20</v>
      </c>
      <c r="J51" s="49">
        <v>20</v>
      </c>
      <c r="K51" s="49">
        <v>20</v>
      </c>
      <c r="L51" s="49">
        <v>20</v>
      </c>
      <c r="M51" s="49">
        <v>20</v>
      </c>
      <c r="N51" s="50"/>
      <c r="O51" s="11"/>
    </row>
    <row r="52" ht="15" customHeight="1">
      <c r="A52" t="s" s="51">
        <v>50</v>
      </c>
      <c r="B52" s="52">
        <v>18</v>
      </c>
      <c r="C52" s="52">
        <v>16</v>
      </c>
      <c r="D52" s="52">
        <v>20</v>
      </c>
      <c r="E52" s="52">
        <v>20</v>
      </c>
      <c r="F52" s="52">
        <v>18</v>
      </c>
      <c r="G52" s="52">
        <v>18</v>
      </c>
      <c r="H52" s="52">
        <v>16</v>
      </c>
      <c r="I52" s="52">
        <v>16</v>
      </c>
      <c r="J52" s="52">
        <v>16</v>
      </c>
      <c r="K52" s="52">
        <v>16</v>
      </c>
      <c r="L52" s="52">
        <v>16</v>
      </c>
      <c r="M52" s="52">
        <v>16</v>
      </c>
      <c r="N52" s="11"/>
      <c r="O52" s="11"/>
    </row>
    <row r="53" ht="15" customHeight="1">
      <c r="A53" t="s" s="46">
        <v>51</v>
      </c>
      <c r="B53" s="47">
        <v>6</v>
      </c>
      <c r="C53" s="47">
        <v>6</v>
      </c>
      <c r="D53" s="47">
        <v>8</v>
      </c>
      <c r="E53" s="47">
        <v>10</v>
      </c>
      <c r="F53" s="47">
        <v>10</v>
      </c>
      <c r="G53" s="47">
        <v>15</v>
      </c>
      <c r="H53" s="47">
        <v>15</v>
      </c>
      <c r="I53" s="47">
        <v>15</v>
      </c>
      <c r="J53" s="47">
        <v>15</v>
      </c>
      <c r="K53" s="47">
        <v>15</v>
      </c>
      <c r="L53" s="47">
        <v>15</v>
      </c>
      <c r="M53" s="47">
        <v>15</v>
      </c>
      <c r="N53" s="11"/>
      <c r="O53" s="11"/>
    </row>
    <row r="54" ht="15" customHeight="1">
      <c r="A54" t="s" s="48">
        <v>41</v>
      </c>
      <c r="B54" s="53"/>
      <c r="C54" s="53"/>
      <c r="D54" s="49">
        <v>2</v>
      </c>
      <c r="E54" s="49">
        <v>12</v>
      </c>
      <c r="F54" s="49">
        <v>12</v>
      </c>
      <c r="G54" s="49">
        <v>12</v>
      </c>
      <c r="H54" s="49">
        <v>12</v>
      </c>
      <c r="I54" s="49">
        <v>12</v>
      </c>
      <c r="J54" s="49">
        <v>12</v>
      </c>
      <c r="K54" s="49">
        <v>12</v>
      </c>
      <c r="L54" s="49">
        <v>12</v>
      </c>
      <c r="M54" s="49">
        <v>12</v>
      </c>
      <c r="N54" s="50"/>
      <c r="O54" s="11"/>
    </row>
    <row r="55" ht="15" customHeight="1">
      <c r="A55" t="s" s="48">
        <v>40</v>
      </c>
      <c r="B55" s="49">
        <v>20</v>
      </c>
      <c r="C55" s="49">
        <v>20</v>
      </c>
      <c r="D55" s="49">
        <v>20</v>
      </c>
      <c r="E55" s="49">
        <v>20</v>
      </c>
      <c r="F55" s="49">
        <v>20</v>
      </c>
      <c r="G55" s="49">
        <v>20</v>
      </c>
      <c r="H55" s="49">
        <v>36</v>
      </c>
      <c r="I55" s="49">
        <v>36</v>
      </c>
      <c r="J55" s="49">
        <v>36</v>
      </c>
      <c r="K55" s="49">
        <v>36</v>
      </c>
      <c r="L55" s="49">
        <v>36</v>
      </c>
      <c r="M55" s="49">
        <v>36</v>
      </c>
      <c r="N55" s="50"/>
      <c r="O55" s="11"/>
    </row>
    <row r="56" ht="15" customHeight="1">
      <c r="A56" t="s" s="51">
        <v>33</v>
      </c>
      <c r="B56" s="52">
        <v>18</v>
      </c>
      <c r="C56" s="52">
        <v>19</v>
      </c>
      <c r="D56" s="52">
        <v>24</v>
      </c>
      <c r="E56" s="52">
        <v>30</v>
      </c>
      <c r="F56" s="52">
        <v>35</v>
      </c>
      <c r="G56" s="52">
        <v>36</v>
      </c>
      <c r="H56" s="52">
        <v>41</v>
      </c>
      <c r="I56" s="52">
        <v>57</v>
      </c>
      <c r="J56" s="52">
        <v>57</v>
      </c>
      <c r="K56" s="52">
        <v>57</v>
      </c>
      <c r="L56" s="52">
        <v>57</v>
      </c>
      <c r="M56" s="52">
        <v>57</v>
      </c>
      <c r="N56" s="11"/>
      <c r="O56" s="11"/>
    </row>
    <row r="57" ht="15" customHeight="1">
      <c r="A57" t="s" s="46">
        <v>52</v>
      </c>
      <c r="B57" s="47">
        <v>25</v>
      </c>
      <c r="C57" s="47">
        <v>25</v>
      </c>
      <c r="D57" s="47">
        <v>30</v>
      </c>
      <c r="E57" s="47">
        <v>30</v>
      </c>
      <c r="F57" s="47">
        <v>35</v>
      </c>
      <c r="G57" s="47">
        <v>35</v>
      </c>
      <c r="H57" s="47">
        <v>40</v>
      </c>
      <c r="I57" s="47">
        <v>40</v>
      </c>
      <c r="J57" s="47">
        <v>40</v>
      </c>
      <c r="K57" s="47">
        <v>45</v>
      </c>
      <c r="L57" s="47">
        <v>45</v>
      </c>
      <c r="M57" s="47">
        <v>45</v>
      </c>
      <c r="N57" s="11"/>
      <c r="O57" s="11"/>
    </row>
    <row r="58" ht="15" customHeight="1">
      <c r="A58" t="s" s="48">
        <v>53</v>
      </c>
      <c r="B58" s="53"/>
      <c r="C58" s="53"/>
      <c r="D58" s="53"/>
      <c r="E58" s="53"/>
      <c r="F58" s="53"/>
      <c r="G58" s="53"/>
      <c r="H58" s="53"/>
      <c r="I58" s="53"/>
      <c r="J58" s="49">
        <v>2</v>
      </c>
      <c r="K58" s="49">
        <v>6</v>
      </c>
      <c r="L58" s="49">
        <v>6</v>
      </c>
      <c r="M58" s="49">
        <v>6</v>
      </c>
      <c r="N58" s="50"/>
      <c r="O58" s="11"/>
    </row>
    <row r="59" ht="15" customHeight="1">
      <c r="A59" t="s" s="51">
        <v>54</v>
      </c>
      <c r="B59" s="52">
        <v>10</v>
      </c>
      <c r="C59" s="52">
        <v>10</v>
      </c>
      <c r="D59" s="52">
        <v>12</v>
      </c>
      <c r="E59" s="52">
        <v>12</v>
      </c>
      <c r="F59" s="52">
        <v>15</v>
      </c>
      <c r="G59" s="52">
        <v>20</v>
      </c>
      <c r="H59" s="52">
        <v>20</v>
      </c>
      <c r="I59" s="52">
        <v>22</v>
      </c>
      <c r="J59" s="52">
        <v>22</v>
      </c>
      <c r="K59" s="52">
        <v>22</v>
      </c>
      <c r="L59" s="52">
        <v>22</v>
      </c>
      <c r="M59" s="52">
        <v>22</v>
      </c>
      <c r="N59" s="11"/>
      <c r="O59" s="11"/>
    </row>
    <row r="60" ht="15" customHeight="1">
      <c r="A60" t="s" s="54">
        <v>22</v>
      </c>
      <c r="B60" s="55" cm="1">
        <f t="array" ref="B60">SUM(B49:B59)</f>
        <v>137</v>
      </c>
      <c r="C60" s="55" cm="1">
        <f t="array" ref="C60">SUM(C49:C59)</f>
        <v>137</v>
      </c>
      <c r="D60" s="55" cm="1">
        <f t="array" ref="D60">SUM(D49:D59)</f>
        <v>168</v>
      </c>
      <c r="E60" s="55" cm="1">
        <f t="array" ref="E60">SUM(E49:E59)</f>
        <v>201</v>
      </c>
      <c r="F60" s="55" cm="1">
        <f t="array" ref="F60">SUM(F49:F59)</f>
        <v>215</v>
      </c>
      <c r="G60" s="55" cm="1">
        <f t="array" ref="G60">SUM(G49:G59)</f>
        <v>231</v>
      </c>
      <c r="H60" s="55" cm="1">
        <f t="array" ref="H60">SUM(H49:H59)</f>
        <v>260</v>
      </c>
      <c r="I60" s="55" cm="1">
        <f t="array" ref="I60">SUM(I49:I59)</f>
        <v>286</v>
      </c>
      <c r="J60" s="55" cm="1">
        <f t="array" ref="J60">SUM(J49:J59)</f>
        <v>289</v>
      </c>
      <c r="K60" s="55" cm="1">
        <f t="array" ref="K60">SUM(K49:K59)</f>
        <v>298</v>
      </c>
      <c r="L60" s="55" cm="1">
        <f t="array" ref="L60">SUM(L49:L59)</f>
        <v>298</v>
      </c>
      <c r="M60" s="55" cm="1">
        <f t="array" ref="M60">SUM(M49:M59)</f>
        <v>298</v>
      </c>
      <c r="N60" s="11"/>
      <c r="O60" s="11"/>
    </row>
    <row r="61" ht="15" customHeight="1">
      <c r="A61" t="s" s="54">
        <v>55</v>
      </c>
      <c r="B61" s="11"/>
      <c r="C61" s="11"/>
      <c r="D61" s="11"/>
      <c r="E61" s="11"/>
      <c r="F61" s="11"/>
      <c r="G61" s="11"/>
      <c r="H61" s="11"/>
      <c r="I61" s="11"/>
      <c r="J61" s="11"/>
      <c r="K61" s="11"/>
      <c r="L61" s="11"/>
      <c r="M61" s="11"/>
      <c r="N61" s="11"/>
      <c r="O61" s="11"/>
    </row>
    <row r="62" ht="15" customHeight="1">
      <c r="A62" s="13"/>
      <c r="B62" s="13"/>
      <c r="C62" s="13"/>
      <c r="D62" s="13"/>
      <c r="E62" s="13"/>
      <c r="F62" s="13"/>
      <c r="G62" s="13"/>
      <c r="H62" s="13"/>
      <c r="I62" s="13"/>
      <c r="J62" s="13"/>
      <c r="K62" s="13"/>
      <c r="L62" s="13"/>
      <c r="M62" s="13"/>
      <c r="N62" s="11"/>
      <c r="O62" s="11"/>
    </row>
    <row r="63" ht="15" customHeight="1">
      <c r="A63" t="s" s="32">
        <v>28</v>
      </c>
      <c r="B63" t="s" s="14">
        <v>9</v>
      </c>
      <c r="C63" t="s" s="14">
        <v>10</v>
      </c>
      <c r="D63" t="s" s="14">
        <v>11</v>
      </c>
      <c r="E63" t="s" s="14">
        <v>12</v>
      </c>
      <c r="F63" t="s" s="14">
        <v>13</v>
      </c>
      <c r="G63" t="s" s="14">
        <v>14</v>
      </c>
      <c r="H63" t="s" s="14">
        <v>15</v>
      </c>
      <c r="I63" t="s" s="14">
        <v>16</v>
      </c>
      <c r="J63" t="s" s="14">
        <v>17</v>
      </c>
      <c r="K63" t="s" s="14">
        <v>18</v>
      </c>
      <c r="L63" t="s" s="14">
        <v>19</v>
      </c>
      <c r="M63" t="s" s="14">
        <v>20</v>
      </c>
      <c r="N63" s="36"/>
      <c r="O63" s="11"/>
    </row>
    <row r="64" ht="15" customHeight="1">
      <c r="A64" t="s" s="42">
        <v>56</v>
      </c>
      <c r="B64" s="23" cm="1">
        <f t="array" ref="B64">B10</f>
        <v>25344200</v>
      </c>
      <c r="C64" s="23" cm="1">
        <f t="array" ref="C64">C10</f>
        <v>47149050</v>
      </c>
      <c r="D64" s="23" cm="1">
        <f t="array" ref="D64">D10</f>
        <v>136375482</v>
      </c>
      <c r="E64" s="23" cm="1">
        <f t="array" ref="E64">E10</f>
        <v>110377400</v>
      </c>
      <c r="F64" s="23" cm="1">
        <f t="array" ref="F64">F10</f>
        <v>155528522</v>
      </c>
      <c r="G64" s="23" cm="1">
        <f t="array" ref="G64">G10</f>
        <v>100097250</v>
      </c>
      <c r="H64" s="23" cm="1">
        <f t="array" ref="H64">H10</f>
        <v>121578717</v>
      </c>
      <c r="I64" s="23" cm="1">
        <f t="array" ref="I64">I10</f>
        <v>175054090</v>
      </c>
      <c r="J64" s="23" cm="1">
        <f t="array" ref="J64">J10</f>
        <v>130552742</v>
      </c>
      <c r="K64" s="23" cm="1">
        <f t="array" ref="K64">K10</f>
        <v>144479137</v>
      </c>
      <c r="L64" s="23" cm="1">
        <f t="array" ref="L64">L10</f>
        <v>195730733</v>
      </c>
      <c r="M64" s="23" cm="1">
        <f t="array" ref="M64">M10</f>
        <v>183279151</v>
      </c>
      <c r="N64" s="11"/>
      <c r="O64" s="11"/>
    </row>
    <row r="65" ht="15" customHeight="1">
      <c r="A65" s="13"/>
      <c r="B65" s="13"/>
      <c r="C65" s="13"/>
      <c r="D65" s="13"/>
      <c r="E65" s="13"/>
      <c r="F65" s="13"/>
      <c r="G65" s="13"/>
      <c r="H65" s="13"/>
      <c r="I65" s="13"/>
      <c r="J65" s="13"/>
      <c r="K65" s="13"/>
      <c r="L65" s="13"/>
      <c r="M65" s="13"/>
      <c r="N65" s="11"/>
      <c r="O65" s="11"/>
    </row>
    <row r="66" ht="15" customHeight="1">
      <c r="A66" t="s" s="32">
        <v>28</v>
      </c>
      <c r="B66" t="s" s="14">
        <v>9</v>
      </c>
      <c r="C66" t="s" s="14">
        <v>10</v>
      </c>
      <c r="D66" t="s" s="14">
        <v>11</v>
      </c>
      <c r="E66" t="s" s="14">
        <v>12</v>
      </c>
      <c r="F66" t="s" s="14">
        <v>13</v>
      </c>
      <c r="G66" t="s" s="14">
        <v>14</v>
      </c>
      <c r="H66" t="s" s="14">
        <v>15</v>
      </c>
      <c r="I66" t="s" s="14">
        <v>16</v>
      </c>
      <c r="J66" t="s" s="14">
        <v>17</v>
      </c>
      <c r="K66" t="s" s="14">
        <v>18</v>
      </c>
      <c r="L66" t="s" s="14">
        <v>19</v>
      </c>
      <c r="M66" t="s" s="14">
        <v>20</v>
      </c>
      <c r="N66" s="36"/>
      <c r="O66" s="11"/>
    </row>
    <row r="67" ht="15" customHeight="1">
      <c r="A67" t="s" s="42">
        <v>57</v>
      </c>
      <c r="B67" s="43" cm="1">
        <f t="array" ref="B67">B60/B$22</f>
        <v>0.413897280966767</v>
      </c>
      <c r="C67" s="43" cm="1">
        <f t="array" ref="C67">C60/C$22</f>
        <v>0.213063763608087</v>
      </c>
      <c r="D67" s="43" cm="1">
        <f t="array" ref="D67">D60/D$22</f>
        <v>0.196951934349355</v>
      </c>
      <c r="E67" s="43" cm="1">
        <f t="array" ref="E67">E60/E$22</f>
        <v>0.237308146399055</v>
      </c>
      <c r="F67" s="43" cm="1">
        <f t="array" ref="F67">F60/F$22</f>
        <v>0.250582750582751</v>
      </c>
      <c r="G67" s="43" cm="1">
        <f t="array" ref="G67">G60/G$22</f>
        <v>0.25524861878453</v>
      </c>
      <c r="H67" s="43" cm="1">
        <f t="array" ref="H67">H60/H$22</f>
        <v>0.264227642276423</v>
      </c>
      <c r="I67" s="43" cm="1">
        <f t="array" ref="I67">I60/I$22</f>
        <v>0.286573146292585</v>
      </c>
      <c r="J67" s="43" cm="1">
        <f t="array" ref="J67">J60/J$22</f>
        <v>0.317233809001098</v>
      </c>
      <c r="K67" s="43" cm="1">
        <f t="array" ref="K67">K60/K$22</f>
        <v>0.309128630705394</v>
      </c>
      <c r="L67" s="43" cm="1">
        <f t="array" ref="L67">L60/L$22</f>
        <v>0.326039387308534</v>
      </c>
      <c r="M67" s="43" cm="1">
        <f t="array" ref="M67">M60/M$22</f>
        <v>0.380102040816327</v>
      </c>
      <c r="N67" s="28" cm="1">
        <f t="array" ref="N67">AVERAGE(B67:M67)</f>
        <v>0.287529762590909</v>
      </c>
      <c r="O67" s="11"/>
    </row>
    <row r="68" ht="15" customHeight="1">
      <c r="A68" s="11"/>
      <c r="B68" s="11"/>
      <c r="C68" s="11"/>
      <c r="D68" s="11"/>
      <c r="E68" s="11"/>
      <c r="F68" s="11"/>
      <c r="G68" s="11"/>
      <c r="H68" s="11"/>
      <c r="I68" s="11"/>
      <c r="J68" s="11"/>
      <c r="K68" s="11"/>
      <c r="L68" s="11"/>
      <c r="M68" s="11"/>
      <c r="N68" s="11"/>
      <c r="O68" s="11"/>
    </row>
    <row r="69" ht="15" customHeight="1">
      <c r="A69" s="11"/>
      <c r="B69" s="11"/>
      <c r="C69" s="11"/>
      <c r="D69" s="11"/>
      <c r="E69" s="11"/>
      <c r="F69" s="11"/>
      <c r="G69" s="11"/>
      <c r="H69" s="11"/>
      <c r="I69" s="11"/>
      <c r="J69" s="11"/>
      <c r="K69" s="11"/>
      <c r="L69" s="11"/>
      <c r="M69" s="11"/>
      <c r="N69" s="11"/>
      <c r="O69" s="11"/>
    </row>
    <row r="70" ht="15" customHeight="1">
      <c r="A70" s="11"/>
      <c r="B70" s="11"/>
      <c r="C70" s="11"/>
      <c r="D70" s="11"/>
      <c r="E70" s="11"/>
      <c r="F70" s="11"/>
      <c r="G70" s="11"/>
      <c r="H70" s="11"/>
      <c r="I70" s="11"/>
      <c r="J70" s="11"/>
      <c r="K70" s="11"/>
      <c r="L70" s="11"/>
      <c r="M70" s="11"/>
      <c r="N70" s="11"/>
      <c r="O70" s="11"/>
    </row>
    <row r="71" ht="15" customHeight="1">
      <c r="A71" s="11"/>
      <c r="B71" s="11"/>
      <c r="C71" s="11"/>
      <c r="D71" s="11"/>
      <c r="E71" s="11"/>
      <c r="F71" s="11"/>
      <c r="G71" s="11"/>
      <c r="H71" s="11"/>
      <c r="I71" s="11"/>
      <c r="J71" s="11"/>
      <c r="K71" s="11"/>
      <c r="L71" s="11"/>
      <c r="M71" s="11"/>
      <c r="N71" s="11"/>
      <c r="O71" s="11"/>
    </row>
    <row r="72" ht="15" customHeight="1">
      <c r="A72" s="11"/>
      <c r="B72" s="11"/>
      <c r="C72" s="11"/>
      <c r="D72" s="11"/>
      <c r="E72" s="11"/>
      <c r="F72" s="11"/>
      <c r="G72" s="11"/>
      <c r="H72" s="11"/>
      <c r="I72" s="11"/>
      <c r="J72" s="11"/>
      <c r="K72" s="11"/>
      <c r="L72" s="11"/>
      <c r="M72" s="11"/>
      <c r="N72" s="11"/>
      <c r="O72" s="11"/>
    </row>
    <row r="73" ht="15" customHeight="1">
      <c r="A73" s="11"/>
      <c r="B73" s="11"/>
      <c r="C73" s="11"/>
      <c r="D73" s="11"/>
      <c r="E73" s="11"/>
      <c r="F73" s="11"/>
      <c r="G73" s="11"/>
      <c r="H73" s="11"/>
      <c r="I73" s="11"/>
      <c r="J73" s="11"/>
      <c r="K73" s="11"/>
      <c r="L73" s="11"/>
      <c r="M73" s="11"/>
      <c r="N73" s="11"/>
      <c r="O73" s="11"/>
    </row>
    <row r="74" ht="15" customHeight="1">
      <c r="A74" s="11"/>
      <c r="B74" s="11"/>
      <c r="C74" s="11"/>
      <c r="D74" s="11"/>
      <c r="E74" s="11"/>
      <c r="F74" s="11"/>
      <c r="G74" s="11"/>
      <c r="H74" s="11"/>
      <c r="I74" s="11"/>
      <c r="J74" s="11"/>
      <c r="K74" s="11"/>
      <c r="L74" s="11"/>
      <c r="M74" s="11"/>
      <c r="N74" s="11"/>
      <c r="O74" s="11"/>
    </row>
    <row r="75" ht="15" customHeight="1">
      <c r="A75" s="11"/>
      <c r="B75" s="11"/>
      <c r="C75" s="11"/>
      <c r="D75" s="11"/>
      <c r="E75" s="11"/>
      <c r="F75" s="11"/>
      <c r="G75" s="11"/>
      <c r="H75" s="11"/>
      <c r="I75" s="11"/>
      <c r="J75" s="11"/>
      <c r="K75" s="11"/>
      <c r="L75" s="11"/>
      <c r="M75" s="11"/>
      <c r="N75" s="11"/>
      <c r="O75" s="11"/>
    </row>
    <row r="76" ht="15" customHeight="1">
      <c r="A76" s="11"/>
      <c r="B76" s="11"/>
      <c r="C76" s="11"/>
      <c r="D76" s="11"/>
      <c r="E76" s="11"/>
      <c r="F76" s="11"/>
      <c r="G76" s="11"/>
      <c r="H76" s="11"/>
      <c r="I76" s="11"/>
      <c r="J76" s="11"/>
      <c r="K76" s="11"/>
      <c r="L76" s="11"/>
      <c r="M76" s="11"/>
      <c r="N76" s="11"/>
      <c r="O76" s="11"/>
    </row>
    <row r="77" ht="15" customHeight="1">
      <c r="A77" s="11"/>
      <c r="B77" s="11"/>
      <c r="C77" s="11"/>
      <c r="D77" s="11"/>
      <c r="E77" s="11"/>
      <c r="F77" s="11"/>
      <c r="G77" s="11"/>
      <c r="H77" s="11"/>
      <c r="I77" s="11"/>
      <c r="J77" s="11"/>
      <c r="K77" s="11"/>
      <c r="L77" s="11"/>
      <c r="M77" s="11"/>
      <c r="N77" s="11"/>
      <c r="O77" s="11"/>
    </row>
    <row r="78" ht="15" customHeight="1">
      <c r="A78" s="11"/>
      <c r="B78" s="11"/>
      <c r="C78" s="11"/>
      <c r="D78" s="11"/>
      <c r="E78" s="11"/>
      <c r="F78" s="11"/>
      <c r="G78" s="11"/>
      <c r="H78" s="11"/>
      <c r="I78" s="11"/>
      <c r="J78" s="11"/>
      <c r="K78" s="11"/>
      <c r="L78" s="11"/>
      <c r="M78" s="11"/>
      <c r="N78" s="11"/>
      <c r="O78" s="11"/>
    </row>
    <row r="79" ht="15" customHeight="1">
      <c r="A79" s="11"/>
      <c r="B79" s="11"/>
      <c r="C79" s="11"/>
      <c r="D79" s="11"/>
      <c r="E79" s="11"/>
      <c r="F79" s="11"/>
      <c r="G79" s="11"/>
      <c r="H79" s="11"/>
      <c r="I79" s="11"/>
      <c r="J79" s="11"/>
      <c r="K79" s="11"/>
      <c r="L79" s="11"/>
      <c r="M79" s="11"/>
      <c r="N79" s="11"/>
      <c r="O79" s="11"/>
    </row>
    <row r="80" ht="15" customHeight="1">
      <c r="A80" s="11"/>
      <c r="B80" s="11"/>
      <c r="C80" s="11"/>
      <c r="D80" s="11"/>
      <c r="E80" s="11"/>
      <c r="F80" s="11"/>
      <c r="G80" s="11"/>
      <c r="H80" s="11"/>
      <c r="I80" s="11"/>
      <c r="J80" s="11"/>
      <c r="K80" s="11"/>
      <c r="L80" s="11"/>
      <c r="M80" s="11"/>
      <c r="N80" s="11"/>
      <c r="O80" s="11"/>
    </row>
    <row r="81" ht="15" customHeight="1">
      <c r="A81" s="11"/>
      <c r="B81" s="11"/>
      <c r="C81" s="11"/>
      <c r="D81" s="11"/>
      <c r="E81" s="11"/>
      <c r="F81" s="11"/>
      <c r="G81" s="11"/>
      <c r="H81" s="11"/>
      <c r="I81" s="11"/>
      <c r="J81" s="11"/>
      <c r="K81" s="11"/>
      <c r="L81" s="11"/>
      <c r="M81" s="11"/>
      <c r="N81" s="11"/>
      <c r="O81" s="11"/>
    </row>
    <row r="82" ht="15" customHeight="1">
      <c r="A82" s="11"/>
      <c r="B82" s="11"/>
      <c r="C82" s="11"/>
      <c r="D82" s="11"/>
      <c r="E82" s="11"/>
      <c r="F82" s="11"/>
      <c r="G82" s="11"/>
      <c r="H82" s="11"/>
      <c r="I82" s="11"/>
      <c r="J82" s="11"/>
      <c r="K82" s="11"/>
      <c r="L82" s="11"/>
      <c r="M82" s="11"/>
      <c r="N82" s="11"/>
      <c r="O82" s="11"/>
    </row>
    <row r="83" ht="15" customHeight="1">
      <c r="A83" s="11"/>
      <c r="B83" s="11"/>
      <c r="C83" s="11"/>
      <c r="D83" s="11"/>
      <c r="E83" s="11"/>
      <c r="F83" s="11"/>
      <c r="G83" s="11"/>
      <c r="H83" s="11"/>
      <c r="I83" s="11"/>
      <c r="J83" s="11"/>
      <c r="K83" s="11"/>
      <c r="L83" s="11"/>
      <c r="M83" s="11"/>
      <c r="N83" s="11"/>
      <c r="O83" s="11"/>
    </row>
    <row r="84" ht="15" customHeight="1">
      <c r="A84" s="11"/>
      <c r="B84" s="11"/>
      <c r="C84" s="11"/>
      <c r="D84" s="11"/>
      <c r="E84" s="11"/>
      <c r="F84" s="11"/>
      <c r="G84" s="11"/>
      <c r="H84" s="11"/>
      <c r="I84" s="11"/>
      <c r="J84" s="11"/>
      <c r="K84" s="11"/>
      <c r="L84" s="11"/>
      <c r="M84" s="11"/>
      <c r="N84" s="11"/>
      <c r="O84" s="11"/>
    </row>
    <row r="85" ht="15" customHeight="1">
      <c r="A85" s="11"/>
      <c r="B85" s="11"/>
      <c r="C85" s="11"/>
      <c r="D85" s="11"/>
      <c r="E85" s="11"/>
      <c r="F85" s="11"/>
      <c r="G85" s="11"/>
      <c r="H85" s="11"/>
      <c r="I85" s="11"/>
      <c r="J85" s="11"/>
      <c r="K85" s="11"/>
      <c r="L85" s="11"/>
      <c r="M85" s="11"/>
      <c r="N85" s="11"/>
      <c r="O85" s="11"/>
    </row>
    <row r="86" ht="15" customHeight="1">
      <c r="A86" s="11"/>
      <c r="B86" s="11"/>
      <c r="C86" s="11"/>
      <c r="D86" s="11"/>
      <c r="E86" s="11"/>
      <c r="F86" s="11"/>
      <c r="G86" s="11"/>
      <c r="H86" s="11"/>
      <c r="I86" s="11"/>
      <c r="J86" s="11"/>
      <c r="K86" s="11"/>
      <c r="L86" s="11"/>
      <c r="M86" s="11"/>
      <c r="N86" s="11"/>
      <c r="O86" s="11"/>
    </row>
    <row r="87" ht="15" customHeight="1">
      <c r="A87" s="11"/>
      <c r="B87" s="11"/>
      <c r="C87" s="11"/>
      <c r="D87" s="11"/>
      <c r="E87" s="11"/>
      <c r="F87" s="11"/>
      <c r="G87" s="11"/>
      <c r="H87" s="11"/>
      <c r="I87" s="11"/>
      <c r="J87" s="11"/>
      <c r="K87" s="11"/>
      <c r="L87" s="11"/>
      <c r="M87" s="11"/>
      <c r="N87" s="11"/>
      <c r="O87" s="11"/>
    </row>
    <row r="88" ht="15" customHeight="1">
      <c r="A88" s="11"/>
      <c r="B88" s="11"/>
      <c r="C88" s="11"/>
      <c r="D88" s="11"/>
      <c r="E88" s="11"/>
      <c r="F88" s="11"/>
      <c r="G88" s="11"/>
      <c r="H88" s="11"/>
      <c r="I88" s="11"/>
      <c r="J88" s="11"/>
      <c r="K88" s="11"/>
      <c r="L88" s="11"/>
      <c r="M88" s="11"/>
      <c r="N88" s="11"/>
      <c r="O88" s="11"/>
    </row>
    <row r="89" ht="15" customHeight="1">
      <c r="A89" s="11"/>
      <c r="B89" s="11"/>
      <c r="C89" s="11"/>
      <c r="D89" s="11"/>
      <c r="E89" s="11"/>
      <c r="F89" s="11"/>
      <c r="G89" s="11"/>
      <c r="H89" s="11"/>
      <c r="I89" s="11"/>
      <c r="J89" s="11"/>
      <c r="K89" s="11"/>
      <c r="L89" s="11"/>
      <c r="M89" s="11"/>
      <c r="N89" s="11"/>
      <c r="O89" s="11"/>
    </row>
    <row r="90" ht="15" customHeight="1">
      <c r="A90" s="11"/>
      <c r="B90" s="11"/>
      <c r="C90" s="11"/>
      <c r="D90" s="11"/>
      <c r="E90" s="11"/>
      <c r="F90" s="11"/>
      <c r="G90" s="11"/>
      <c r="H90" s="11"/>
      <c r="I90" s="11"/>
      <c r="J90" s="11"/>
      <c r="K90" s="11"/>
      <c r="L90" s="11"/>
      <c r="M90" s="11"/>
      <c r="N90" s="11"/>
      <c r="O90" s="11"/>
    </row>
    <row r="91" ht="15" customHeight="1">
      <c r="A91" s="11"/>
      <c r="B91" s="11"/>
      <c r="C91" s="11"/>
      <c r="D91" s="11"/>
      <c r="E91" s="11"/>
      <c r="F91" s="11"/>
      <c r="G91" s="11"/>
      <c r="H91" s="11"/>
      <c r="I91" s="11"/>
      <c r="J91" s="11"/>
      <c r="K91" s="11"/>
      <c r="L91" s="11"/>
      <c r="M91" s="11"/>
      <c r="N91" s="11"/>
      <c r="O91" s="11"/>
    </row>
    <row r="92" ht="15" customHeight="1">
      <c r="A92" s="11"/>
      <c r="B92" s="11"/>
      <c r="C92" s="11"/>
      <c r="D92" s="11"/>
      <c r="E92" s="11"/>
      <c r="F92" s="11"/>
      <c r="G92" s="11"/>
      <c r="H92" s="11"/>
      <c r="I92" s="11"/>
      <c r="J92" s="11"/>
      <c r="K92" s="11"/>
      <c r="L92" s="11"/>
      <c r="M92" s="11"/>
      <c r="N92" s="11"/>
      <c r="O92" s="11"/>
    </row>
    <row r="93" ht="15" customHeight="1">
      <c r="A93" s="11"/>
      <c r="B93" s="11"/>
      <c r="C93" s="11"/>
      <c r="D93" s="11"/>
      <c r="E93" s="11"/>
      <c r="F93" s="11"/>
      <c r="G93" s="11"/>
      <c r="H93" s="11"/>
      <c r="I93" s="11"/>
      <c r="J93" s="11"/>
      <c r="K93" s="11"/>
      <c r="L93" s="11"/>
      <c r="M93" s="11"/>
      <c r="N93" s="11"/>
      <c r="O93" s="11"/>
    </row>
    <row r="94" ht="15" customHeight="1">
      <c r="A94" s="11"/>
      <c r="B94" s="11"/>
      <c r="C94" s="11"/>
      <c r="D94" s="11"/>
      <c r="E94" s="11"/>
      <c r="F94" s="11"/>
      <c r="G94" s="11"/>
      <c r="H94" s="11"/>
      <c r="I94" s="11"/>
      <c r="J94" s="11"/>
      <c r="K94" s="11"/>
      <c r="L94" s="11"/>
      <c r="M94" s="11"/>
      <c r="N94" s="11"/>
      <c r="O94" s="11"/>
    </row>
    <row r="95" ht="15" customHeight="1">
      <c r="A95" s="11"/>
      <c r="B95" s="11"/>
      <c r="C95" s="11"/>
      <c r="D95" s="11"/>
      <c r="E95" s="11"/>
      <c r="F95" s="11"/>
      <c r="G95" s="11"/>
      <c r="H95" s="11"/>
      <c r="I95" s="11"/>
      <c r="J95" s="11"/>
      <c r="K95" s="11"/>
      <c r="L95" s="11"/>
      <c r="M95" s="11"/>
      <c r="N95" s="11"/>
      <c r="O95" s="11"/>
    </row>
    <row r="96" ht="15" customHeight="1">
      <c r="A96" s="11"/>
      <c r="B96" s="11"/>
      <c r="C96" s="11"/>
      <c r="D96" s="11"/>
      <c r="E96" s="11"/>
      <c r="F96" s="11"/>
      <c r="G96" s="11"/>
      <c r="H96" s="11"/>
      <c r="I96" s="11"/>
      <c r="J96" s="11"/>
      <c r="K96" s="11"/>
      <c r="L96" s="11"/>
      <c r="M96" s="11"/>
      <c r="N96" s="11"/>
      <c r="O96" s="11"/>
    </row>
    <row r="97" ht="15" customHeight="1">
      <c r="A97" s="11"/>
      <c r="B97" s="11"/>
      <c r="C97" s="11"/>
      <c r="D97" s="11"/>
      <c r="E97" s="11"/>
      <c r="F97" s="11"/>
      <c r="G97" s="11"/>
      <c r="H97" s="11"/>
      <c r="I97" s="11"/>
      <c r="J97" s="11"/>
      <c r="K97" s="11"/>
      <c r="L97" s="11"/>
      <c r="M97" s="11"/>
      <c r="N97" s="11"/>
      <c r="O97" s="11"/>
    </row>
    <row r="98" ht="15" customHeight="1">
      <c r="A98" s="11"/>
      <c r="B98" s="11"/>
      <c r="C98" s="11"/>
      <c r="D98" s="11"/>
      <c r="E98" s="11"/>
      <c r="F98" s="11"/>
      <c r="G98" s="11"/>
      <c r="H98" s="11"/>
      <c r="I98" s="11"/>
      <c r="J98" s="11"/>
      <c r="K98" s="11"/>
      <c r="L98" s="11"/>
      <c r="M98" s="11"/>
      <c r="N98" s="11"/>
      <c r="O98" s="11"/>
    </row>
    <row r="99" ht="15" customHeight="1">
      <c r="A99" s="11"/>
      <c r="B99" s="11"/>
      <c r="C99" s="11"/>
      <c r="D99" s="11"/>
      <c r="E99" s="11"/>
      <c r="F99" s="11"/>
      <c r="G99" s="11"/>
      <c r="H99" s="11"/>
      <c r="I99" s="11"/>
      <c r="J99" s="11"/>
      <c r="K99" s="11"/>
      <c r="L99" s="11"/>
      <c r="M99" s="11"/>
      <c r="N99" s="11"/>
      <c r="O99" s="11"/>
    </row>
    <row r="100" ht="15" customHeight="1">
      <c r="A100" s="11"/>
      <c r="B100" s="11"/>
      <c r="C100" s="11"/>
      <c r="D100" s="11"/>
      <c r="E100" s="11"/>
      <c r="F100" s="11"/>
      <c r="G100" s="11"/>
      <c r="H100" s="11"/>
      <c r="I100" s="11"/>
      <c r="J100" s="11"/>
      <c r="K100" s="11"/>
      <c r="L100" s="11"/>
      <c r="M100" s="11"/>
      <c r="N100" s="11"/>
      <c r="O100" s="11"/>
    </row>
    <row r="101" ht="15" customHeight="1">
      <c r="A101" s="11"/>
      <c r="B101" s="11"/>
      <c r="C101" s="11"/>
      <c r="D101" s="11"/>
      <c r="E101" s="11"/>
      <c r="F101" s="11"/>
      <c r="G101" s="11"/>
      <c r="H101" s="11"/>
      <c r="I101" s="11"/>
      <c r="J101" s="11"/>
      <c r="K101" s="11"/>
      <c r="L101" s="11"/>
      <c r="M101" s="11"/>
      <c r="N101" s="11"/>
      <c r="O101" s="11"/>
    </row>
    <row r="102" ht="15" customHeight="1">
      <c r="A102" s="11"/>
      <c r="B102" s="11"/>
      <c r="C102" s="11"/>
      <c r="D102" s="11"/>
      <c r="E102" s="11"/>
      <c r="F102" s="11"/>
      <c r="G102" s="11"/>
      <c r="H102" s="11"/>
      <c r="I102" s="11"/>
      <c r="J102" s="11"/>
      <c r="K102" s="11"/>
      <c r="L102" s="11"/>
      <c r="M102" s="11"/>
      <c r="N102" s="11"/>
      <c r="O102" s="11"/>
    </row>
    <row r="103" ht="15" customHeight="1">
      <c r="A103" s="11"/>
      <c r="B103" s="11"/>
      <c r="C103" s="11"/>
      <c r="D103" s="11"/>
      <c r="E103" s="11"/>
      <c r="F103" s="11"/>
      <c r="G103" s="11"/>
      <c r="H103" s="11"/>
      <c r="I103" s="11"/>
      <c r="J103" s="11"/>
      <c r="K103" s="11"/>
      <c r="L103" s="11"/>
      <c r="M103" s="11"/>
      <c r="N103" s="11"/>
      <c r="O103" s="11"/>
    </row>
    <row r="104" ht="15" customHeight="1">
      <c r="A104" s="11"/>
      <c r="B104" s="11"/>
      <c r="C104" s="11"/>
      <c r="D104" s="11"/>
      <c r="E104" s="11"/>
      <c r="F104" s="11"/>
      <c r="G104" s="11"/>
      <c r="H104" s="11"/>
      <c r="I104" s="11"/>
      <c r="J104" s="11"/>
      <c r="K104" s="11"/>
      <c r="L104" s="11"/>
      <c r="M104" s="11"/>
      <c r="N104" s="11"/>
      <c r="O104" s="11"/>
    </row>
    <row r="105" ht="15" customHeight="1">
      <c r="A105" s="11"/>
      <c r="B105" s="11"/>
      <c r="C105" s="11"/>
      <c r="D105" s="11"/>
      <c r="E105" s="11"/>
      <c r="F105" s="11"/>
      <c r="G105" s="11"/>
      <c r="H105" s="11"/>
      <c r="I105" s="11"/>
      <c r="J105" s="11"/>
      <c r="K105" s="11"/>
      <c r="L105" s="11"/>
      <c r="M105" s="11"/>
      <c r="N105" s="11"/>
      <c r="O105" s="11"/>
    </row>
    <row r="106" ht="15" customHeight="1">
      <c r="A106" s="11"/>
      <c r="B106" s="11"/>
      <c r="C106" s="11"/>
      <c r="D106" s="11"/>
      <c r="E106" s="11"/>
      <c r="F106" s="11"/>
      <c r="G106" s="11"/>
      <c r="H106" s="11"/>
      <c r="I106" s="11"/>
      <c r="J106" s="11"/>
      <c r="K106" s="11"/>
      <c r="L106" s="11"/>
      <c r="M106" s="11"/>
      <c r="N106" s="11"/>
      <c r="O106" s="11"/>
    </row>
    <row r="107" ht="15" customHeight="1">
      <c r="A107" s="11"/>
      <c r="B107" s="11"/>
      <c r="C107" s="11"/>
      <c r="D107" s="11"/>
      <c r="E107" s="11"/>
      <c r="F107" s="11"/>
      <c r="G107" s="11"/>
      <c r="H107" s="11"/>
      <c r="I107" s="11"/>
      <c r="J107" s="11"/>
      <c r="K107" s="11"/>
      <c r="L107" s="11"/>
      <c r="M107" s="11"/>
      <c r="N107" s="11"/>
      <c r="O107" s="11"/>
    </row>
    <row r="108" ht="15" customHeight="1">
      <c r="A108" s="11"/>
      <c r="B108" s="11"/>
      <c r="C108" s="11"/>
      <c r="D108" s="11"/>
      <c r="E108" s="11"/>
      <c r="F108" s="11"/>
      <c r="G108" s="11"/>
      <c r="H108" s="11"/>
      <c r="I108" s="11"/>
      <c r="J108" s="11"/>
      <c r="K108" s="11"/>
      <c r="L108" s="11"/>
      <c r="M108" s="11"/>
      <c r="N108" s="11"/>
      <c r="O108" s="11"/>
    </row>
    <row r="109" ht="15" customHeight="1">
      <c r="A109" s="11"/>
      <c r="B109" s="11"/>
      <c r="C109" s="11"/>
      <c r="D109" s="11"/>
      <c r="E109" s="11"/>
      <c r="F109" s="11"/>
      <c r="G109" s="11"/>
      <c r="H109" s="11"/>
      <c r="I109" s="11"/>
      <c r="J109" s="11"/>
      <c r="K109" s="11"/>
      <c r="L109" s="11"/>
      <c r="M109" s="11"/>
      <c r="N109" s="11"/>
      <c r="O109" s="11"/>
    </row>
    <row r="110" ht="15" customHeight="1">
      <c r="A110" s="11"/>
      <c r="B110" s="11"/>
      <c r="C110" s="11"/>
      <c r="D110" s="11"/>
      <c r="E110" s="11"/>
      <c r="F110" s="11"/>
      <c r="G110" s="11"/>
      <c r="H110" s="11"/>
      <c r="I110" s="11"/>
      <c r="J110" s="11"/>
      <c r="K110" s="11"/>
      <c r="L110" s="11"/>
      <c r="M110" s="11"/>
      <c r="N110" s="11"/>
      <c r="O110" s="11"/>
    </row>
    <row r="111" ht="15" customHeight="1">
      <c r="A111" s="11"/>
      <c r="B111" s="11"/>
      <c r="C111" s="11"/>
      <c r="D111" s="11"/>
      <c r="E111" s="11"/>
      <c r="F111" s="11"/>
      <c r="G111" s="11"/>
      <c r="H111" s="11"/>
      <c r="I111" s="11"/>
      <c r="J111" s="11"/>
      <c r="K111" s="11"/>
      <c r="L111" s="11"/>
      <c r="M111" s="11"/>
      <c r="N111" s="11"/>
      <c r="O111" s="11"/>
    </row>
    <row r="112" ht="15" customHeight="1">
      <c r="A112" s="11"/>
      <c r="B112" s="11"/>
      <c r="C112" s="11"/>
      <c r="D112" s="11"/>
      <c r="E112" s="11"/>
      <c r="F112" s="11"/>
      <c r="G112" s="11"/>
      <c r="H112" s="11"/>
      <c r="I112" s="11"/>
      <c r="J112" s="11"/>
      <c r="K112" s="11"/>
      <c r="L112" s="11"/>
      <c r="M112" s="11"/>
      <c r="N112" s="11"/>
      <c r="O112" s="11"/>
    </row>
    <row r="113" ht="15" customHeight="1">
      <c r="A113" s="11"/>
      <c r="B113" s="11"/>
      <c r="C113" s="11"/>
      <c r="D113" s="11"/>
      <c r="E113" s="11"/>
      <c r="F113" s="11"/>
      <c r="G113" s="11"/>
      <c r="H113" s="11"/>
      <c r="I113" s="11"/>
      <c r="J113" s="11"/>
      <c r="K113" s="11"/>
      <c r="L113" s="11"/>
      <c r="M113" s="11"/>
      <c r="N113" s="11"/>
      <c r="O113" s="11"/>
    </row>
    <row r="114" ht="15" customHeight="1">
      <c r="A114" s="11"/>
      <c r="B114" s="11"/>
      <c r="C114" s="11"/>
      <c r="D114" s="11"/>
      <c r="E114" s="11"/>
      <c r="F114" s="11"/>
      <c r="G114" s="11"/>
      <c r="H114" s="11"/>
      <c r="I114" s="11"/>
      <c r="J114" s="11"/>
      <c r="K114" s="11"/>
      <c r="L114" s="11"/>
      <c r="M114" s="11"/>
      <c r="N114" s="11"/>
      <c r="O114" s="11"/>
    </row>
    <row r="115" ht="15" customHeight="1">
      <c r="A115" s="11"/>
      <c r="B115" s="11"/>
      <c r="C115" s="11"/>
      <c r="D115" s="11"/>
      <c r="E115" s="11"/>
      <c r="F115" s="11"/>
      <c r="G115" s="11"/>
      <c r="H115" s="11"/>
      <c r="I115" s="11"/>
      <c r="J115" s="11"/>
      <c r="K115" s="11"/>
      <c r="L115" s="11"/>
      <c r="M115" s="11"/>
      <c r="N115" s="11"/>
      <c r="O115" s="11"/>
    </row>
    <row r="116" ht="15" customHeight="1">
      <c r="A116" s="11"/>
      <c r="B116" s="11"/>
      <c r="C116" s="11"/>
      <c r="D116" s="11"/>
      <c r="E116" s="11"/>
      <c r="F116" s="11"/>
      <c r="G116" s="11"/>
      <c r="H116" s="11"/>
      <c r="I116" s="11"/>
      <c r="J116" s="11"/>
      <c r="K116" s="11"/>
      <c r="L116" s="11"/>
      <c r="M116" s="11"/>
      <c r="N116" s="11"/>
      <c r="O116" s="11"/>
    </row>
    <row r="117" ht="15" customHeight="1">
      <c r="A117" s="11"/>
      <c r="B117" s="11"/>
      <c r="C117" s="11"/>
      <c r="D117" s="11"/>
      <c r="E117" s="11"/>
      <c r="F117" s="11"/>
      <c r="G117" s="11"/>
      <c r="H117" s="11"/>
      <c r="I117" s="11"/>
      <c r="J117" s="11"/>
      <c r="K117" s="11"/>
      <c r="L117" s="11"/>
      <c r="M117" s="11"/>
      <c r="N117" s="11"/>
      <c r="O117" s="11"/>
    </row>
    <row r="118" ht="15" customHeight="1">
      <c r="A118" s="11"/>
      <c r="B118" s="11"/>
      <c r="C118" s="11"/>
      <c r="D118" s="11"/>
      <c r="E118" s="11"/>
      <c r="F118" s="11"/>
      <c r="G118" s="11"/>
      <c r="H118" s="11"/>
      <c r="I118" s="11"/>
      <c r="J118" s="11"/>
      <c r="K118" s="11"/>
      <c r="L118" s="11"/>
      <c r="M118" s="11"/>
      <c r="N118" s="11"/>
      <c r="O118" s="11"/>
    </row>
    <row r="119" ht="15" customHeight="1">
      <c r="A119" s="11"/>
      <c r="B119" s="11"/>
      <c r="C119" s="11"/>
      <c r="D119" s="11"/>
      <c r="E119" s="11"/>
      <c r="F119" s="11"/>
      <c r="G119" s="11"/>
      <c r="H119" s="11"/>
      <c r="I119" s="11"/>
      <c r="J119" s="11"/>
      <c r="K119" s="11"/>
      <c r="L119" s="11"/>
      <c r="M119" s="11"/>
      <c r="N119" s="11"/>
      <c r="O119" s="11"/>
    </row>
    <row r="120" ht="15" customHeight="1">
      <c r="A120" s="11"/>
      <c r="B120" s="11"/>
      <c r="C120" s="11"/>
      <c r="D120" s="11"/>
      <c r="E120" s="11"/>
      <c r="F120" s="11"/>
      <c r="G120" s="11"/>
      <c r="H120" s="11"/>
      <c r="I120" s="11"/>
      <c r="J120" s="11"/>
      <c r="K120" s="11"/>
      <c r="L120" s="11"/>
      <c r="M120" s="11"/>
      <c r="N120" s="11"/>
      <c r="O120" s="11"/>
    </row>
    <row r="121" ht="15" customHeight="1">
      <c r="A121" s="11"/>
      <c r="B121" s="11"/>
      <c r="C121" s="11"/>
      <c r="D121" s="11"/>
      <c r="E121" s="11"/>
      <c r="F121" s="11"/>
      <c r="G121" s="11"/>
      <c r="H121" s="11"/>
      <c r="I121" s="11"/>
      <c r="J121" s="11"/>
      <c r="K121" s="11"/>
      <c r="L121" s="11"/>
      <c r="M121" s="11"/>
      <c r="N121" s="11"/>
      <c r="O121" s="11"/>
    </row>
    <row r="122" ht="15" customHeight="1">
      <c r="A122" s="11"/>
      <c r="B122" s="11"/>
      <c r="C122" s="11"/>
      <c r="D122" s="11"/>
      <c r="E122" s="11"/>
      <c r="F122" s="11"/>
      <c r="G122" s="11"/>
      <c r="H122" s="11"/>
      <c r="I122" s="11"/>
      <c r="J122" s="11"/>
      <c r="K122" s="11"/>
      <c r="L122" s="11"/>
      <c r="M122" s="11"/>
      <c r="N122" s="11"/>
      <c r="O122" s="11"/>
    </row>
    <row r="123" ht="15" customHeight="1">
      <c r="A123" s="11"/>
      <c r="B123" s="11"/>
      <c r="C123" s="11"/>
      <c r="D123" s="11"/>
      <c r="E123" s="11"/>
      <c r="F123" s="11"/>
      <c r="G123" s="11"/>
      <c r="H123" s="11"/>
      <c r="I123" s="11"/>
      <c r="J123" s="11"/>
      <c r="K123" s="11"/>
      <c r="L123" s="11"/>
      <c r="M123" s="11"/>
      <c r="N123" s="11"/>
      <c r="O123" s="11"/>
    </row>
    <row r="124" ht="15" customHeight="1">
      <c r="A124" s="11"/>
      <c r="B124" s="11"/>
      <c r="C124" s="11"/>
      <c r="D124" s="11"/>
      <c r="E124" s="11"/>
      <c r="F124" s="11"/>
      <c r="G124" s="11"/>
      <c r="H124" s="11"/>
      <c r="I124" s="11"/>
      <c r="J124" s="11"/>
      <c r="K124" s="11"/>
      <c r="L124" s="11"/>
      <c r="M124" s="11"/>
      <c r="N124" s="11"/>
      <c r="O124" s="11"/>
    </row>
    <row r="125" ht="15" customHeight="1">
      <c r="A125" t="s" s="54">
        <v>58</v>
      </c>
      <c r="B125" t="s" s="54">
        <v>59</v>
      </c>
      <c r="C125" t="s" s="54">
        <v>60</v>
      </c>
      <c r="D125" s="11"/>
      <c r="E125" s="11"/>
      <c r="F125" s="11"/>
      <c r="G125" s="11"/>
      <c r="H125" s="11"/>
      <c r="I125" s="11"/>
      <c r="J125" s="11"/>
      <c r="K125" s="11"/>
      <c r="L125" s="11"/>
      <c r="M125" s="11"/>
      <c r="N125" s="11"/>
      <c r="O125" s="11"/>
    </row>
    <row r="126" ht="15" customHeight="1">
      <c r="A126" s="56">
        <v>2040200</v>
      </c>
      <c r="B126" s="55">
        <v>2</v>
      </c>
      <c r="C126" s="56" cm="1">
        <f t="array" ref="C126">A126/B126</f>
        <v>1020100</v>
      </c>
      <c r="D126" s="11"/>
      <c r="E126" s="11"/>
      <c r="F126" s="11"/>
      <c r="G126" s="11"/>
      <c r="H126" s="11"/>
      <c r="I126" s="11"/>
      <c r="J126" s="11"/>
      <c r="K126" s="11"/>
      <c r="L126" s="11"/>
      <c r="M126" s="11"/>
      <c r="N126" s="11"/>
      <c r="O126" s="11"/>
    </row>
    <row r="127" ht="15" customHeight="1">
      <c r="A127" s="56">
        <v>813200</v>
      </c>
      <c r="B127" s="55">
        <v>1</v>
      </c>
      <c r="C127" s="56" cm="1">
        <f t="array" ref="C127">A127/B127</f>
        <v>813200</v>
      </c>
      <c r="D127" s="11"/>
      <c r="E127" s="11"/>
      <c r="F127" s="11"/>
      <c r="G127" s="11"/>
      <c r="H127" s="11"/>
      <c r="I127" s="11"/>
      <c r="J127" s="11"/>
      <c r="K127" s="11"/>
      <c r="L127" s="11"/>
      <c r="M127" s="11"/>
      <c r="N127" s="11"/>
      <c r="O127" s="11"/>
    </row>
    <row r="128" ht="15" customHeight="1">
      <c r="A128" s="56" cm="1">
        <f t="array" ref="A128">SUM(A126:A127)</f>
        <v>2853400</v>
      </c>
      <c r="B128" s="55" cm="1">
        <f t="array" ref="B128">SUM(B126:B127)</f>
        <v>3</v>
      </c>
      <c r="C128" s="56" cm="1">
        <f t="array" ref="C128">A128/B128</f>
        <v>951133.333333333</v>
      </c>
      <c r="D128" s="11"/>
      <c r="E128" s="11"/>
      <c r="F128" s="11"/>
      <c r="G128" s="11"/>
      <c r="H128" s="11"/>
      <c r="I128" s="11"/>
      <c r="J128" s="11"/>
      <c r="K128" s="11"/>
      <c r="L128" s="11"/>
      <c r="M128" s="11"/>
      <c r="N128" s="11"/>
      <c r="O128" s="11"/>
    </row>
    <row r="129" ht="15" customHeight="1">
      <c r="A129" t="s" s="54">
        <v>61</v>
      </c>
      <c r="B129" s="11"/>
      <c r="C129" s="56" cm="1">
        <f t="array" ref="C129">C128*4</f>
        <v>3804533.33333333</v>
      </c>
      <c r="D129" s="11"/>
      <c r="E129" s="11"/>
      <c r="F129" s="11"/>
      <c r="G129" s="11"/>
      <c r="H129" s="11"/>
      <c r="I129" s="11"/>
      <c r="J129" s="11"/>
      <c r="K129" s="11"/>
      <c r="L129" s="11"/>
      <c r="M129" s="11"/>
      <c r="N129" s="11"/>
      <c r="O129" s="11"/>
    </row>
    <row r="130" ht="15" customHeight="1">
      <c r="A130" s="11"/>
      <c r="B130" s="11"/>
      <c r="C130" s="11"/>
      <c r="D130" s="11"/>
      <c r="E130" s="11"/>
      <c r="F130" s="11"/>
      <c r="G130" s="11"/>
      <c r="H130" s="11"/>
      <c r="I130" s="11"/>
      <c r="J130" s="11"/>
      <c r="K130" s="11"/>
      <c r="L130" s="11"/>
      <c r="M130" s="11"/>
      <c r="N130" s="11"/>
      <c r="O130" s="11"/>
    </row>
    <row r="131" ht="15" customHeight="1">
      <c r="A131" t="s" s="54">
        <v>62</v>
      </c>
      <c r="B131" t="s" s="54">
        <v>59</v>
      </c>
      <c r="C131" t="s" s="54">
        <v>60</v>
      </c>
      <c r="D131" s="11"/>
      <c r="E131" s="11"/>
      <c r="F131" s="11"/>
      <c r="G131" s="11"/>
      <c r="H131" s="11"/>
      <c r="I131" s="11"/>
      <c r="J131" s="11"/>
      <c r="K131" s="11"/>
      <c r="L131" s="11"/>
      <c r="M131" s="11"/>
      <c r="N131" s="11"/>
      <c r="O131" s="11"/>
    </row>
    <row r="132" ht="15" customHeight="1">
      <c r="A132" s="56">
        <v>1298933</v>
      </c>
      <c r="B132" s="55">
        <v>2</v>
      </c>
      <c r="C132" s="56" cm="1">
        <f t="array" ref="C132">A132/B132</f>
        <v>649466.5</v>
      </c>
      <c r="D132" s="11"/>
      <c r="E132" s="11"/>
      <c r="F132" s="11"/>
      <c r="G132" s="11"/>
      <c r="H132" s="11"/>
      <c r="I132" s="11"/>
      <c r="J132" s="11"/>
      <c r="K132" s="11"/>
      <c r="L132" s="11"/>
      <c r="M132" s="11"/>
      <c r="N132" s="11"/>
      <c r="O132" s="11"/>
    </row>
    <row r="133" ht="15" customHeight="1">
      <c r="A133" s="56">
        <v>682873</v>
      </c>
      <c r="B133" s="55">
        <v>1</v>
      </c>
      <c r="C133" s="56" cm="1">
        <f t="array" ref="C133">A133/B133</f>
        <v>682873</v>
      </c>
      <c r="D133" s="11"/>
      <c r="E133" s="11"/>
      <c r="F133" s="11"/>
      <c r="G133" s="11"/>
      <c r="H133" s="11"/>
      <c r="I133" s="11"/>
      <c r="J133" s="11"/>
      <c r="K133" s="11"/>
      <c r="L133" s="11"/>
      <c r="M133" s="11"/>
      <c r="N133" s="11"/>
      <c r="O133" s="11"/>
    </row>
    <row r="134" ht="15" customHeight="1">
      <c r="A134" s="56" cm="1">
        <f t="array" ref="A134">SUM(A132:A133)</f>
        <v>1981806</v>
      </c>
      <c r="B134" s="55" cm="1">
        <f t="array" ref="B134">SUM(B132:B133)</f>
        <v>3</v>
      </c>
      <c r="C134" s="56" cm="1">
        <f t="array" ref="C134">A134/B134</f>
        <v>660602</v>
      </c>
      <c r="D134" s="11"/>
      <c r="E134" s="11"/>
      <c r="F134" s="11"/>
      <c r="G134" s="11"/>
      <c r="H134" s="11"/>
      <c r="I134" s="11"/>
      <c r="J134" s="11"/>
      <c r="K134" s="11"/>
      <c r="L134" s="11"/>
      <c r="M134" s="11"/>
      <c r="N134" s="11"/>
      <c r="O134" s="11"/>
    </row>
    <row r="135" ht="15" customHeight="1">
      <c r="A135" t="s" s="54">
        <v>63</v>
      </c>
      <c r="B135" s="11"/>
      <c r="C135" s="56" cm="1">
        <f t="array" ref="C135">C134*4</f>
        <v>2642408</v>
      </c>
      <c r="D135" s="11"/>
      <c r="E135" s="11"/>
      <c r="F135" s="11"/>
      <c r="G135" s="11"/>
      <c r="H135" s="11"/>
      <c r="I135" s="11"/>
      <c r="J135" s="11"/>
      <c r="K135" s="11"/>
      <c r="L135" s="11"/>
      <c r="M135" s="11"/>
      <c r="N135" s="11"/>
      <c r="O135" s="11"/>
    </row>
    <row r="136" ht="15" customHeight="1">
      <c r="A136" s="11"/>
      <c r="B136" s="11"/>
      <c r="C136" s="11"/>
      <c r="D136" s="11"/>
      <c r="E136" s="11"/>
      <c r="F136" s="11"/>
      <c r="G136" s="11"/>
      <c r="H136" s="11"/>
      <c r="I136" s="11"/>
      <c r="J136" s="11"/>
      <c r="K136" s="11"/>
      <c r="L136" s="11"/>
      <c r="M136" s="11"/>
      <c r="N136" s="11"/>
      <c r="O136" s="11"/>
    </row>
    <row r="137" ht="15" customHeight="1">
      <c r="A137" t="s" s="54">
        <v>64</v>
      </c>
      <c r="B137" s="11"/>
      <c r="C137" s="56" cm="1">
        <f t="array" ref="C137">C129-C135</f>
        <v>1162125.33333333</v>
      </c>
      <c r="D137" s="11"/>
      <c r="E137" s="11"/>
      <c r="F137" s="11"/>
      <c r="G137" s="11"/>
      <c r="H137" s="11"/>
      <c r="I137" s="11"/>
      <c r="J137" s="11"/>
      <c r="K137" s="11"/>
      <c r="L137" s="11"/>
      <c r="M137" s="11"/>
      <c r="N137" s="11"/>
      <c r="O137" s="11"/>
    </row>
    <row r="138" ht="15" customHeight="1">
      <c r="A138" s="11"/>
      <c r="B138" s="11"/>
      <c r="C138" s="11"/>
      <c r="D138" s="11"/>
      <c r="E138" s="11"/>
      <c r="F138" s="11"/>
      <c r="G138" s="11"/>
      <c r="H138" s="11"/>
      <c r="I138" s="11"/>
      <c r="J138" s="11"/>
      <c r="K138" s="11"/>
      <c r="L138" s="11"/>
      <c r="M138" s="11"/>
      <c r="N138" s="11"/>
      <c r="O138" s="11"/>
    </row>
    <row r="139" ht="15" customHeight="1">
      <c r="A139" s="11"/>
      <c r="B139" s="11"/>
      <c r="C139" s="11"/>
      <c r="D139" s="11"/>
      <c r="E139" s="11"/>
      <c r="F139" s="11"/>
      <c r="G139" s="11"/>
      <c r="H139" s="11"/>
      <c r="I139" s="11"/>
      <c r="J139" s="11"/>
      <c r="K139" s="11"/>
      <c r="L139" s="11"/>
      <c r="M139" s="11"/>
      <c r="N139" s="11"/>
      <c r="O139" s="11"/>
    </row>
    <row r="140" ht="15" customHeight="1">
      <c r="A140" s="11"/>
      <c r="B140" s="11"/>
      <c r="C140" s="11"/>
      <c r="D140" s="11"/>
      <c r="E140" s="11"/>
      <c r="F140" s="11"/>
      <c r="G140" s="11"/>
      <c r="H140" s="11"/>
      <c r="I140" s="11"/>
      <c r="J140" s="11"/>
      <c r="K140" s="11"/>
      <c r="L140" s="11"/>
      <c r="M140" s="11"/>
      <c r="N140" s="11"/>
      <c r="O140" s="11"/>
    </row>
    <row r="141" ht="15" customHeight="1">
      <c r="A141" t="s" s="54">
        <v>65</v>
      </c>
      <c r="B141" s="11"/>
      <c r="C141" s="11"/>
      <c r="D141" s="11"/>
      <c r="E141" s="11"/>
      <c r="F141" s="11"/>
      <c r="G141" s="11"/>
      <c r="H141" s="11"/>
      <c r="I141" s="11"/>
      <c r="J141" s="11"/>
      <c r="K141" s="11"/>
      <c r="L141" s="11"/>
      <c r="M141" s="11"/>
      <c r="N141" s="11"/>
      <c r="O141" s="11"/>
    </row>
    <row r="142" ht="15" customHeight="1">
      <c r="A142" s="11"/>
      <c r="B142" s="11"/>
      <c r="C142" s="11"/>
      <c r="D142" s="11"/>
      <c r="E142" s="11"/>
      <c r="F142" s="11"/>
      <c r="G142" s="11"/>
      <c r="H142" s="11"/>
      <c r="I142" s="11"/>
      <c r="J142" s="11"/>
      <c r="K142" s="11"/>
      <c r="L142" s="11"/>
      <c r="M142" s="11"/>
      <c r="N142" s="11"/>
      <c r="O142" s="11"/>
    </row>
    <row r="143" ht="15" customHeight="1">
      <c r="A143" t="s" s="54">
        <v>28</v>
      </c>
      <c r="B143" s="11"/>
      <c r="C143" s="11"/>
      <c r="D143" s="11"/>
      <c r="E143" s="11"/>
      <c r="F143" s="11"/>
      <c r="G143" s="11"/>
      <c r="H143" s="11"/>
      <c r="I143" s="11"/>
      <c r="J143" s="11"/>
      <c r="K143" s="11"/>
      <c r="L143" s="11"/>
      <c r="M143" s="11"/>
      <c r="N143" s="11"/>
      <c r="O143" s="11"/>
    </row>
    <row r="144" ht="15" customHeight="1">
      <c r="A144" t="s" s="54">
        <v>66</v>
      </c>
      <c r="B144" s="56" cm="1">
        <f t="array" ref="B144">N22</f>
        <v>832.666666666667</v>
      </c>
      <c r="C144" s="11"/>
      <c r="D144" s="11"/>
      <c r="E144" s="11"/>
      <c r="F144" s="11"/>
      <c r="G144" s="11"/>
      <c r="H144" s="11"/>
      <c r="I144" s="11"/>
      <c r="J144" s="11"/>
      <c r="K144" s="11"/>
      <c r="L144" s="11"/>
      <c r="M144" s="11"/>
      <c r="N144" s="11"/>
      <c r="O144" s="11"/>
    </row>
    <row r="145" ht="15" customHeight="1">
      <c r="A145" t="s" s="54">
        <v>67</v>
      </c>
      <c r="B145" s="56" cm="1">
        <f t="array" ref="B145">N23</f>
        <v>80.6666666666667</v>
      </c>
      <c r="C145" s="28" cm="1">
        <f t="array" ref="C145">B145/$B$144</f>
        <v>0.09687750200160131</v>
      </c>
      <c r="D145" s="11"/>
      <c r="E145" s="11"/>
      <c r="F145" s="11"/>
      <c r="G145" s="11"/>
      <c r="H145" s="11"/>
      <c r="I145" s="11"/>
      <c r="J145" s="11"/>
      <c r="K145" s="11"/>
      <c r="L145" s="11"/>
      <c r="M145" s="11"/>
      <c r="N145" s="11"/>
      <c r="O145" s="11"/>
    </row>
    <row r="146" ht="15" customHeight="1">
      <c r="A146" t="s" s="54">
        <v>68</v>
      </c>
      <c r="B146" s="56" cm="1">
        <f t="array" ref="B146">N24</f>
        <v>152</v>
      </c>
      <c r="C146" s="28" cm="1">
        <f t="array" ref="C146">B146/$B$144</f>
        <v>0.182546036829463</v>
      </c>
      <c r="D146" s="11"/>
      <c r="E146" s="11"/>
      <c r="F146" s="11"/>
      <c r="G146" s="11"/>
      <c r="H146" s="11"/>
      <c r="I146" s="11"/>
      <c r="J146" s="11"/>
      <c r="K146" s="11"/>
      <c r="L146" s="11"/>
      <c r="M146" s="11"/>
      <c r="N146" s="11"/>
      <c r="O146" s="11"/>
    </row>
    <row r="147" ht="15" customHeight="1">
      <c r="A147" t="s" s="54">
        <v>33</v>
      </c>
      <c r="B147" s="56" cm="1">
        <f t="array" ref="B147">N26</f>
        <v>160</v>
      </c>
      <c r="C147" s="28" cm="1">
        <f t="array" ref="C147">B147/$B$144</f>
        <v>0.192153722978383</v>
      </c>
      <c r="D147" s="11"/>
      <c r="E147" s="11"/>
      <c r="F147" s="11"/>
      <c r="G147" s="11"/>
      <c r="H147" s="11"/>
      <c r="I147" s="11"/>
      <c r="J147" s="11"/>
      <c r="K147" s="11"/>
      <c r="L147" s="11"/>
      <c r="M147" s="11"/>
      <c r="N147" s="11"/>
      <c r="O147" s="11"/>
    </row>
    <row r="148" ht="15" customHeight="1">
      <c r="A148" t="s" s="54">
        <v>69</v>
      </c>
      <c r="B148" s="56" cm="1">
        <f t="array" ref="B148">N25</f>
        <v>773.916666666667</v>
      </c>
      <c r="C148" s="28" cm="1">
        <f t="array" ref="C148">B148/$B$144</f>
        <v>0.929443554843875</v>
      </c>
      <c r="D148" s="57"/>
      <c r="E148" s="11"/>
      <c r="F148" s="11"/>
      <c r="G148" s="11"/>
      <c r="H148" s="11"/>
      <c r="I148" s="11"/>
      <c r="J148" s="11"/>
      <c r="K148" s="11"/>
      <c r="L148" s="11"/>
      <c r="M148" s="11"/>
      <c r="N148" s="11"/>
      <c r="O148" s="11"/>
    </row>
    <row r="149" ht="15" customHeight="1">
      <c r="A149" t="s" s="54">
        <v>70</v>
      </c>
      <c r="B149" s="56" cm="1">
        <f t="array" ref="B149">M13/1000000</f>
        <v>1525.546474</v>
      </c>
      <c r="C149" s="11"/>
      <c r="D149" s="57"/>
      <c r="E149" s="11"/>
      <c r="F149" s="11"/>
      <c r="G149" s="11"/>
      <c r="H149" s="11"/>
      <c r="I149" s="11"/>
      <c r="J149" s="11"/>
      <c r="K149" s="11"/>
      <c r="L149" s="11"/>
      <c r="M149" s="11"/>
      <c r="N149" s="11"/>
      <c r="O149" s="11"/>
    </row>
    <row r="150" ht="15" customHeight="1">
      <c r="A150" s="11"/>
      <c r="B150" s="56"/>
      <c r="C150" s="11"/>
      <c r="D150" s="57"/>
      <c r="E150" s="11"/>
      <c r="F150" s="11"/>
      <c r="G150" s="11"/>
      <c r="H150" s="11"/>
      <c r="I150" s="11"/>
      <c r="J150" s="11"/>
      <c r="K150" s="11"/>
      <c r="L150" s="11"/>
      <c r="M150" s="11"/>
      <c r="N150" s="11"/>
      <c r="O150" s="11"/>
    </row>
    <row r="151" ht="15" customHeight="1">
      <c r="A151" t="s" s="54">
        <v>28</v>
      </c>
      <c r="B151" s="11"/>
      <c r="C151" s="11"/>
      <c r="D151" s="11"/>
      <c r="E151" s="11"/>
      <c r="F151" s="11"/>
      <c r="G151" s="11"/>
      <c r="H151" s="11"/>
      <c r="I151" s="11"/>
      <c r="J151" s="11"/>
      <c r="K151" s="11"/>
      <c r="L151" s="11"/>
      <c r="M151" s="11"/>
      <c r="N151" s="11"/>
      <c r="O151" s="11"/>
    </row>
    <row r="152" ht="15" customHeight="1">
      <c r="A152" t="s" s="54">
        <v>71</v>
      </c>
      <c r="B152" s="28" cm="1">
        <f t="array" ref="B152">N45</f>
        <v>0.512782070169811</v>
      </c>
      <c r="C152" s="11"/>
      <c r="D152" s="11"/>
      <c r="E152" s="11"/>
      <c r="F152" s="11"/>
      <c r="G152" s="11"/>
      <c r="H152" s="11"/>
      <c r="I152" s="11"/>
      <c r="J152" s="11"/>
      <c r="K152" s="11"/>
      <c r="L152" s="11"/>
      <c r="M152" s="11"/>
      <c r="N152" s="11"/>
      <c r="O152" s="11"/>
    </row>
    <row r="153" ht="15" customHeight="1">
      <c r="A153" t="s" s="54">
        <v>72</v>
      </c>
      <c r="B153" s="28" cm="1">
        <f t="array" ref="B153">N67</f>
        <v>0.287529762590909</v>
      </c>
      <c r="C153" s="11"/>
      <c r="D153" s="11"/>
      <c r="E153" s="11"/>
      <c r="F153" s="11"/>
      <c r="G153" s="11"/>
      <c r="H153" s="11"/>
      <c r="I153" s="11"/>
      <c r="J153" s="11"/>
      <c r="K153" s="11"/>
      <c r="L153" s="11"/>
      <c r="M153" s="11"/>
      <c r="N153" s="11"/>
      <c r="O153" s="11"/>
    </row>
    <row r="154" ht="15" customHeight="1">
      <c r="A154" s="11"/>
      <c r="B154" s="28"/>
      <c r="C154" s="11"/>
      <c r="D154" s="11"/>
      <c r="E154" s="11"/>
      <c r="F154" s="11"/>
      <c r="G154" s="11"/>
      <c r="H154" s="11"/>
      <c r="I154" s="11"/>
      <c r="J154" s="11"/>
      <c r="K154" s="11"/>
      <c r="L154" s="11"/>
      <c r="M154" s="11"/>
      <c r="N154" s="11"/>
      <c r="O154" s="11"/>
    </row>
    <row r="155" ht="15" customHeight="1">
      <c r="A155" t="s" s="54">
        <v>28</v>
      </c>
      <c r="B155" t="s" s="54">
        <v>73</v>
      </c>
      <c r="C155" s="11"/>
      <c r="D155" s="11"/>
      <c r="E155" s="11"/>
      <c r="F155" s="11"/>
      <c r="G155" s="11"/>
      <c r="H155" s="11"/>
      <c r="I155" s="11"/>
      <c r="J155" s="11"/>
      <c r="K155" s="11"/>
      <c r="L155" s="11"/>
      <c r="M155" s="11"/>
      <c r="N155" s="11"/>
      <c r="O155" s="11"/>
    </row>
    <row r="156" ht="15" customHeight="1">
      <c r="A156" t="s" s="54">
        <v>74</v>
      </c>
      <c r="B156" s="56" cm="1">
        <f t="array" ref="B156">N30</f>
        <v>71.8333333333333</v>
      </c>
      <c r="C156" s="11"/>
      <c r="D156" s="11"/>
      <c r="E156" s="11"/>
      <c r="F156" s="11"/>
      <c r="G156" s="11"/>
      <c r="H156" s="11"/>
      <c r="I156" s="11"/>
      <c r="J156" s="11"/>
      <c r="K156" s="11"/>
      <c r="L156" s="11"/>
      <c r="M156" s="11"/>
      <c r="N156" s="11"/>
      <c r="O156" s="11"/>
    </row>
    <row r="157" ht="15" customHeight="1">
      <c r="A157" t="s" s="54">
        <v>75</v>
      </c>
      <c r="B157" s="56" cm="1">
        <f t="array" ref="B157">N31</f>
        <v>27.6</v>
      </c>
      <c r="C157" s="28" cm="1">
        <f t="array" ref="C157">B157/B156</f>
        <v>0.384222737819026</v>
      </c>
      <c r="D157" s="11"/>
      <c r="E157" s="11"/>
      <c r="F157" s="11"/>
      <c r="G157" s="11"/>
      <c r="H157" s="11"/>
      <c r="I157" s="11"/>
      <c r="J157" s="11"/>
      <c r="K157" s="11"/>
      <c r="L157" s="11"/>
      <c r="M157" s="11"/>
      <c r="N157" s="11"/>
      <c r="O157" s="11"/>
    </row>
    <row r="158" ht="15" customHeight="1">
      <c r="A158" t="s" s="54">
        <v>37</v>
      </c>
      <c r="B158" s="56" cm="1">
        <f t="array" ref="B158">N32</f>
        <v>12.75</v>
      </c>
      <c r="C158" s="28" cm="1">
        <f t="array" ref="C158">B158/B157</f>
        <v>0.46195652173913</v>
      </c>
      <c r="D158" s="11"/>
      <c r="E158" s="11"/>
      <c r="F158" s="11"/>
      <c r="G158" s="11"/>
      <c r="H158" s="11"/>
      <c r="I158" s="11"/>
      <c r="J158" s="11"/>
      <c r="K158" s="11"/>
      <c r="L158" s="11"/>
      <c r="M158" s="11"/>
      <c r="N158" s="11"/>
      <c r="O158" s="11"/>
    </row>
    <row r="159" ht="15" customHeight="1">
      <c r="A159" t="s" s="54">
        <v>38</v>
      </c>
      <c r="B159" s="56" cm="1">
        <f t="array" ref="B159">N33</f>
        <v>88.5833333333333</v>
      </c>
      <c r="C159" s="28" cm="1">
        <f t="array" ref="C159">B159/(B156*12)</f>
        <v>0.102764887857695</v>
      </c>
      <c r="D159" t="s" s="54">
        <v>76</v>
      </c>
      <c r="E159" s="11"/>
      <c r="F159" s="11"/>
      <c r="G159" s="11"/>
      <c r="H159" s="11"/>
      <c r="I159" s="11"/>
      <c r="J159" s="11"/>
      <c r="K159" s="11"/>
      <c r="L159" s="11"/>
      <c r="M159" s="11"/>
      <c r="N159" s="11"/>
      <c r="O159" s="11"/>
    </row>
    <row r="160" ht="15" customHeight="1">
      <c r="A160" s="11"/>
      <c r="B160" s="11"/>
      <c r="C160" s="11"/>
      <c r="D160" s="11"/>
      <c r="E160" s="11"/>
      <c r="F160" s="11"/>
      <c r="G160" s="11"/>
      <c r="H160" s="11"/>
      <c r="I160" s="11"/>
      <c r="J160" s="11"/>
      <c r="K160" s="11"/>
      <c r="L160" s="11"/>
      <c r="M160" s="11"/>
      <c r="N160" s="11"/>
      <c r="O160" s="11"/>
    </row>
    <row r="161" ht="15" customHeight="1">
      <c r="A161" s="11"/>
      <c r="B161" s="58"/>
      <c r="C161" s="11"/>
      <c r="D161" s="11"/>
      <c r="E161" s="11"/>
      <c r="F161" s="11"/>
      <c r="G161" s="11"/>
      <c r="H161" s="11"/>
      <c r="I161" s="11"/>
      <c r="J161" s="11"/>
      <c r="K161" s="11"/>
      <c r="L161" s="11"/>
      <c r="M161" s="11"/>
      <c r="N161" s="11"/>
      <c r="O161" s="11"/>
    </row>
    <row r="162" ht="15" customHeight="1">
      <c r="A162" s="11"/>
      <c r="B162" s="11"/>
      <c r="C162" s="11"/>
      <c r="D162" s="11"/>
      <c r="E162" s="11"/>
      <c r="F162" s="11"/>
      <c r="G162" s="11"/>
      <c r="H162" s="11"/>
      <c r="I162" s="11"/>
      <c r="J162" s="11"/>
      <c r="K162" s="11"/>
      <c r="L162" s="11"/>
      <c r="M162" s="11"/>
      <c r="N162" s="11"/>
      <c r="O162" s="11"/>
    </row>
    <row r="163" ht="15" customHeight="1">
      <c r="A163" s="11"/>
      <c r="B163" s="11"/>
      <c r="C163" s="11"/>
      <c r="D163" s="11"/>
      <c r="E163" s="11"/>
      <c r="F163" s="11"/>
      <c r="G163" s="11"/>
      <c r="H163" s="11"/>
      <c r="I163" s="11"/>
      <c r="J163" s="11"/>
      <c r="K163" s="11"/>
      <c r="L163" s="11"/>
      <c r="M163" s="11"/>
      <c r="N163" s="11"/>
      <c r="O163" s="11"/>
    </row>
    <row r="164" ht="15" customHeight="1">
      <c r="A164" s="11"/>
      <c r="B164" s="11"/>
      <c r="C164" s="11"/>
      <c r="D164" s="11"/>
      <c r="E164" s="11"/>
      <c r="F164" s="11"/>
      <c r="G164" s="11"/>
      <c r="H164" s="11"/>
      <c r="I164" s="11"/>
      <c r="J164" s="11"/>
      <c r="K164" s="11"/>
      <c r="L164" s="11"/>
      <c r="M164" s="11"/>
      <c r="N164" s="11"/>
      <c r="O164" s="11"/>
    </row>
    <row r="165" ht="15" customHeight="1">
      <c r="A165" s="11"/>
      <c r="B165" s="11"/>
      <c r="C165" s="11"/>
      <c r="D165" s="11"/>
      <c r="E165" s="11"/>
      <c r="F165" s="11"/>
      <c r="G165" s="11"/>
      <c r="H165" s="11"/>
      <c r="I165" s="11"/>
      <c r="J165" s="11"/>
      <c r="K165" s="11"/>
      <c r="L165" s="11"/>
      <c r="M165" s="11"/>
      <c r="N165" s="11"/>
      <c r="O165" s="11"/>
    </row>
    <row r="166" ht="15" customHeight="1">
      <c r="A166" s="11"/>
      <c r="B166" s="11"/>
      <c r="C166" s="11"/>
      <c r="D166" s="11"/>
      <c r="E166" s="11"/>
      <c r="F166" s="11"/>
      <c r="G166" s="11"/>
      <c r="H166" s="11"/>
      <c r="I166" s="11"/>
      <c r="J166" s="11"/>
      <c r="K166" s="11"/>
      <c r="L166" s="11"/>
      <c r="M166" s="11"/>
      <c r="N166" s="11"/>
      <c r="O166" s="11"/>
    </row>
    <row r="167" ht="15" customHeight="1">
      <c r="A167" s="11"/>
      <c r="B167" s="11"/>
      <c r="C167" s="11"/>
      <c r="D167" s="11"/>
      <c r="E167" s="11"/>
      <c r="F167" s="11"/>
      <c r="G167" s="11"/>
      <c r="H167" s="11"/>
      <c r="I167" s="11"/>
      <c r="J167" s="11"/>
      <c r="K167" s="11"/>
      <c r="L167" s="11"/>
      <c r="M167" s="11"/>
      <c r="N167" s="11"/>
      <c r="O167" s="11"/>
    </row>
    <row r="168" ht="15" customHeight="1">
      <c r="A168" s="11"/>
      <c r="B168" s="11"/>
      <c r="C168" s="11"/>
      <c r="D168" s="11"/>
      <c r="E168" s="11"/>
      <c r="F168" s="11"/>
      <c r="G168" s="11"/>
      <c r="H168" s="11"/>
      <c r="I168" s="11"/>
      <c r="J168" s="11"/>
      <c r="K168" s="11"/>
      <c r="L168" s="11"/>
      <c r="M168" s="11"/>
      <c r="N168" s="11"/>
      <c r="O168" s="11"/>
    </row>
    <row r="169" ht="15" customHeight="1">
      <c r="A169" s="11"/>
      <c r="B169" s="11"/>
      <c r="C169" s="11"/>
      <c r="D169" s="11"/>
      <c r="E169" s="11"/>
      <c r="F169" s="11"/>
      <c r="G169" s="11"/>
      <c r="H169" s="11"/>
      <c r="I169" s="11"/>
      <c r="J169" s="11"/>
      <c r="K169" s="11"/>
      <c r="L169" s="11"/>
      <c r="M169" s="11"/>
      <c r="N169" s="11"/>
      <c r="O169" s="11"/>
    </row>
    <row r="170" ht="15" customHeight="1">
      <c r="A170" s="11"/>
      <c r="B170" s="11"/>
      <c r="C170" s="11"/>
      <c r="D170" s="11"/>
      <c r="E170" s="11"/>
      <c r="F170" s="11"/>
      <c r="G170" s="11"/>
      <c r="H170" s="11"/>
      <c r="I170" s="11"/>
      <c r="J170" s="11"/>
      <c r="K170" s="11"/>
      <c r="L170" s="11"/>
      <c r="M170" s="11"/>
      <c r="N170" s="11"/>
      <c r="O170" s="11"/>
    </row>
    <row r="171" ht="15" customHeight="1">
      <c r="A171" s="11"/>
      <c r="B171" s="11"/>
      <c r="C171" s="11"/>
      <c r="D171" s="11"/>
      <c r="E171" s="11"/>
      <c r="F171" s="11"/>
      <c r="G171" s="11"/>
      <c r="H171" s="11"/>
      <c r="I171" s="11"/>
      <c r="J171" s="11"/>
      <c r="K171" s="11"/>
      <c r="L171" s="11"/>
      <c r="M171" s="11"/>
      <c r="N171" s="11"/>
      <c r="O171" s="11"/>
    </row>
    <row r="172" ht="15" customHeight="1">
      <c r="A172" s="11"/>
      <c r="B172" s="11"/>
      <c r="C172" s="11"/>
      <c r="D172" s="11"/>
      <c r="E172" s="11"/>
      <c r="F172" s="11"/>
      <c r="G172" s="11"/>
      <c r="H172" s="11"/>
      <c r="I172" s="11"/>
      <c r="J172" s="11"/>
      <c r="K172" s="11"/>
      <c r="L172" s="11"/>
      <c r="M172" s="11"/>
      <c r="N172" s="11"/>
      <c r="O172" s="11"/>
    </row>
    <row r="173" ht="15" customHeight="1">
      <c r="A173" s="11"/>
      <c r="B173" s="11"/>
      <c r="C173" s="11"/>
      <c r="D173" s="11"/>
      <c r="E173" s="11"/>
      <c r="F173" s="11"/>
      <c r="G173" s="11"/>
      <c r="H173" s="11"/>
      <c r="I173" s="11"/>
      <c r="J173" s="11"/>
      <c r="K173" s="11"/>
      <c r="L173" s="11"/>
      <c r="M173" s="11"/>
      <c r="N173" s="11"/>
      <c r="O173" s="11"/>
    </row>
    <row r="174" ht="15" customHeight="1">
      <c r="A174" s="11"/>
      <c r="B174" s="11"/>
      <c r="C174" s="11"/>
      <c r="D174" s="11"/>
      <c r="E174" s="11"/>
      <c r="F174" s="11"/>
      <c r="G174" s="11"/>
      <c r="H174" s="11"/>
      <c r="I174" s="11"/>
      <c r="J174" s="11"/>
      <c r="K174" s="11"/>
      <c r="L174" s="11"/>
      <c r="M174" s="11"/>
      <c r="N174" s="11"/>
      <c r="O174" s="11"/>
    </row>
    <row r="175" ht="15" customHeight="1">
      <c r="A175" s="11"/>
      <c r="B175" s="11"/>
      <c r="C175" s="11"/>
      <c r="D175" s="11"/>
      <c r="E175" s="11"/>
      <c r="F175" s="11"/>
      <c r="G175" s="11"/>
      <c r="H175" s="11"/>
      <c r="I175" s="11"/>
      <c r="J175" s="11"/>
      <c r="K175" s="11"/>
      <c r="L175" s="11"/>
      <c r="M175" s="11"/>
      <c r="N175" s="11"/>
      <c r="O175" s="11"/>
    </row>
    <row r="176" ht="15" customHeight="1">
      <c r="A176" s="11"/>
      <c r="B176" s="11"/>
      <c r="C176" s="11"/>
      <c r="D176" s="11"/>
      <c r="E176" s="11"/>
      <c r="F176" s="11"/>
      <c r="G176" s="11"/>
      <c r="H176" s="11"/>
      <c r="I176" s="11"/>
      <c r="J176" s="11"/>
      <c r="K176" s="11"/>
      <c r="L176" s="11"/>
      <c r="M176" s="11"/>
      <c r="N176" s="11"/>
      <c r="O176" s="11"/>
    </row>
    <row r="177" ht="15" customHeight="1">
      <c r="A177" s="11"/>
      <c r="B177" s="11"/>
      <c r="C177" s="11"/>
      <c r="D177" s="11"/>
      <c r="E177" s="11"/>
      <c r="F177" s="11"/>
      <c r="G177" s="11"/>
      <c r="H177" s="11"/>
      <c r="I177" s="11"/>
      <c r="J177" s="11"/>
      <c r="K177" s="11"/>
      <c r="L177" s="11"/>
      <c r="M177" s="11"/>
      <c r="N177" s="11"/>
      <c r="O177" s="11"/>
    </row>
    <row r="178" ht="15" customHeight="1">
      <c r="A178" s="11"/>
      <c r="B178" s="11"/>
      <c r="C178" s="11"/>
      <c r="D178" s="11"/>
      <c r="E178" s="11"/>
      <c r="F178" s="11"/>
      <c r="G178" s="11"/>
      <c r="H178" s="11"/>
      <c r="I178" s="11"/>
      <c r="J178" s="11"/>
      <c r="K178" s="11"/>
      <c r="L178" s="11"/>
      <c r="M178" s="11"/>
      <c r="N178" s="11"/>
      <c r="O178" s="11"/>
    </row>
    <row r="179" ht="15" customHeight="1">
      <c r="A179" s="11"/>
      <c r="B179" s="11"/>
      <c r="C179" s="11"/>
      <c r="D179" s="11"/>
      <c r="E179" s="11"/>
      <c r="F179" s="11"/>
      <c r="G179" s="11"/>
      <c r="H179" s="11"/>
      <c r="I179" s="11"/>
      <c r="J179" s="11"/>
      <c r="K179" s="11"/>
      <c r="L179" s="11"/>
      <c r="M179" s="11"/>
      <c r="N179" s="11"/>
      <c r="O179" s="11"/>
    </row>
    <row r="180" ht="15" customHeight="1">
      <c r="A180" s="11"/>
      <c r="B180" s="11"/>
      <c r="C180" s="11"/>
      <c r="D180" s="11"/>
      <c r="E180" s="11"/>
      <c r="F180" s="11"/>
      <c r="G180" s="11"/>
      <c r="H180" s="11"/>
      <c r="I180" s="11"/>
      <c r="J180" s="11"/>
      <c r="K180" s="11"/>
      <c r="L180" s="11"/>
      <c r="M180" s="11"/>
      <c r="N180" s="11"/>
      <c r="O180" s="11"/>
    </row>
    <row r="181" ht="15" customHeight="1">
      <c r="A181" s="11"/>
      <c r="B181" s="11"/>
      <c r="C181" s="11"/>
      <c r="D181" s="11"/>
      <c r="E181" s="11"/>
      <c r="F181" s="11"/>
      <c r="G181" s="11"/>
      <c r="H181" s="11"/>
      <c r="I181" s="11"/>
      <c r="J181" s="11"/>
      <c r="K181" s="11"/>
      <c r="L181" s="11"/>
      <c r="M181" s="11"/>
      <c r="N181" s="11"/>
      <c r="O181" s="11"/>
    </row>
    <row r="182" ht="15" customHeight="1">
      <c r="A182" s="11"/>
      <c r="B182" s="11"/>
      <c r="C182" s="11"/>
      <c r="D182" s="11"/>
      <c r="E182" s="11"/>
      <c r="F182" s="11"/>
      <c r="G182" s="11"/>
      <c r="H182" s="11"/>
      <c r="I182" s="11"/>
      <c r="J182" s="11"/>
      <c r="K182" s="11"/>
      <c r="L182" s="11"/>
      <c r="M182" s="11"/>
      <c r="N182" s="11"/>
      <c r="O182" s="11"/>
    </row>
    <row r="183" ht="15" customHeight="1">
      <c r="A183" s="11"/>
      <c r="B183" s="11"/>
      <c r="C183" s="11"/>
      <c r="D183" s="11"/>
      <c r="E183" s="11"/>
      <c r="F183" s="11"/>
      <c r="G183" s="11"/>
      <c r="H183" s="11"/>
      <c r="I183" s="11"/>
      <c r="J183" s="11"/>
      <c r="K183" s="11"/>
      <c r="L183" s="11"/>
      <c r="M183" s="11"/>
      <c r="N183" s="11"/>
      <c r="O183" s="11"/>
    </row>
    <row r="184" ht="15" customHeight="1">
      <c r="A184" s="11"/>
      <c r="B184" s="11"/>
      <c r="C184" s="11"/>
      <c r="D184" s="11"/>
      <c r="E184" s="11"/>
      <c r="F184" s="11"/>
      <c r="G184" s="11"/>
      <c r="H184" s="11"/>
      <c r="I184" s="11"/>
      <c r="J184" s="11"/>
      <c r="K184" s="11"/>
      <c r="L184" s="11"/>
      <c r="M184" s="11"/>
      <c r="N184" s="11"/>
      <c r="O184" s="11"/>
    </row>
    <row r="185" ht="15" customHeight="1">
      <c r="A185" s="11"/>
      <c r="B185" s="11"/>
      <c r="C185" s="11"/>
      <c r="D185" s="11"/>
      <c r="E185" s="11"/>
      <c r="F185" s="11"/>
      <c r="G185" s="11"/>
      <c r="H185" s="11"/>
      <c r="I185" s="11"/>
      <c r="J185" s="11"/>
      <c r="K185" s="11"/>
      <c r="L185" s="11"/>
      <c r="M185" s="11"/>
      <c r="N185" s="11"/>
      <c r="O185" s="11"/>
    </row>
    <row r="186" ht="15" customHeight="1">
      <c r="A186" s="11"/>
      <c r="B186" s="11"/>
      <c r="C186" s="11"/>
      <c r="D186" s="11"/>
      <c r="E186" s="11"/>
      <c r="F186" s="11"/>
      <c r="G186" s="11"/>
      <c r="H186" s="11"/>
      <c r="I186" s="11"/>
      <c r="J186" s="11"/>
      <c r="K186" s="11"/>
      <c r="L186" s="11"/>
      <c r="M186" s="11"/>
      <c r="N186" s="11"/>
      <c r="O186" s="11"/>
    </row>
    <row r="187" ht="15" customHeight="1">
      <c r="A187" s="11"/>
      <c r="B187" s="11"/>
      <c r="C187" s="11"/>
      <c r="D187" s="11"/>
      <c r="E187" s="11"/>
      <c r="F187" s="11"/>
      <c r="G187" s="11"/>
      <c r="H187" s="11"/>
      <c r="I187" s="11"/>
      <c r="J187" s="11"/>
      <c r="K187" s="11"/>
      <c r="L187" s="11"/>
      <c r="M187" s="11"/>
      <c r="N187" s="11"/>
      <c r="O187" s="11"/>
    </row>
    <row r="188" ht="15" customHeight="1">
      <c r="A188" s="11"/>
      <c r="B188" s="11"/>
      <c r="C188" s="11"/>
      <c r="D188" s="11"/>
      <c r="E188" s="11"/>
      <c r="F188" s="11"/>
      <c r="G188" s="11"/>
      <c r="H188" s="11"/>
      <c r="I188" s="11"/>
      <c r="J188" s="11"/>
      <c r="K188" s="11"/>
      <c r="L188" s="11"/>
      <c r="M188" s="11"/>
      <c r="N188" s="11"/>
      <c r="O188" s="11"/>
    </row>
    <row r="189" ht="15" customHeight="1">
      <c r="A189" s="11"/>
      <c r="B189" s="11"/>
      <c r="C189" s="11"/>
      <c r="D189" s="11"/>
      <c r="E189" s="11"/>
      <c r="F189" s="11"/>
      <c r="G189" s="11"/>
      <c r="H189" s="11"/>
      <c r="I189" s="11"/>
      <c r="J189" s="11"/>
      <c r="K189" s="11"/>
      <c r="L189" s="11"/>
      <c r="M189" s="11"/>
      <c r="N189" s="11"/>
      <c r="O189" s="11"/>
    </row>
  </sheetData>
  <mergeCells count="4">
    <mergeCell ref="A1:M1"/>
    <mergeCell ref="A2:M2"/>
    <mergeCell ref="A17:M17"/>
    <mergeCell ref="A18:M18"/>
  </mergeCells>
  <pageMargins left="0.75" right="0.75" top="1" bottom="1" header="0.5" footer="0.5"/>
  <pageSetup firstPageNumber="1" fitToHeight="1" fitToWidth="1" scale="100" useFirstPageNumber="0" orientation="portrait" pageOrder="downThenOver"/>
  <headerFooter>
    <oddFooter>&amp;C&amp;"Helvetica,Regular"&amp;12&amp;K000000&amp;P</oddFooter>
  </headerFooter>
  <drawing r:id="rId1"/>
</worksheet>
</file>

<file path=xl/worksheets/sheet3.xml><?xml version="1.0" encoding="utf-8"?>
<worksheet xmlns:r="http://schemas.openxmlformats.org/officeDocument/2006/relationships" xmlns="http://schemas.openxmlformats.org/spreadsheetml/2006/main">
  <dimension ref="A1:N127"/>
  <sheetViews>
    <sheetView workbookViewId="0" showGridLines="0" defaultGridColor="1"/>
  </sheetViews>
  <sheetFormatPr defaultColWidth="12.5" defaultRowHeight="15" customHeight="1" outlineLevelRow="0" outlineLevelCol="0"/>
  <cols>
    <col min="1" max="1" width="27.1719" style="59" customWidth="1"/>
    <col min="2" max="2" width="15.1719" style="59" customWidth="1"/>
    <col min="3" max="3" width="14.6719" style="59" customWidth="1"/>
    <col min="4" max="4" width="17.3516" style="59" customWidth="1"/>
    <col min="5" max="5" width="15" style="59" customWidth="1"/>
    <col min="6" max="7" width="14.6719" style="59" customWidth="1"/>
    <col min="8" max="12" width="16.5" style="59" customWidth="1"/>
    <col min="13" max="13" width="19" style="59" customWidth="1"/>
    <col min="14" max="14" width="13.5" style="59" customWidth="1"/>
    <col min="15" max="16384" width="12.5" style="59" customWidth="1"/>
  </cols>
  <sheetData>
    <row r="1" ht="23" customHeight="1">
      <c r="A1" t="s" s="7">
        <v>6</v>
      </c>
      <c r="B1" s="8"/>
      <c r="C1" s="8"/>
      <c r="D1" s="9"/>
      <c r="E1" s="9"/>
      <c r="F1" s="9"/>
      <c r="G1" s="9"/>
      <c r="H1" s="9"/>
      <c r="I1" s="9"/>
      <c r="J1" s="9"/>
      <c r="K1" s="9"/>
      <c r="L1" s="9"/>
      <c r="M1" s="9"/>
      <c r="N1" s="10"/>
    </row>
    <row r="2" ht="23" customHeight="1">
      <c r="A2" t="s" s="7">
        <v>78</v>
      </c>
      <c r="B2" s="8"/>
      <c r="C2" s="8"/>
      <c r="D2" s="12"/>
      <c r="E2" s="12"/>
      <c r="F2" s="12"/>
      <c r="G2" s="12"/>
      <c r="H2" s="12"/>
      <c r="I2" s="12"/>
      <c r="J2" s="12"/>
      <c r="K2" s="12"/>
      <c r="L2" s="12"/>
      <c r="M2" s="12"/>
      <c r="N2" s="10"/>
    </row>
    <row r="3" ht="15" customHeight="1">
      <c r="A3" s="13"/>
      <c r="B3" s="13"/>
      <c r="C3" s="13"/>
      <c r="D3" s="13"/>
      <c r="E3" s="13"/>
      <c r="F3" s="13"/>
      <c r="G3" s="13"/>
      <c r="H3" s="13"/>
      <c r="I3" s="13"/>
      <c r="J3" s="13"/>
      <c r="K3" s="13"/>
      <c r="L3" s="13"/>
      <c r="M3" s="13"/>
      <c r="N3" s="10"/>
    </row>
    <row r="4" ht="15" customHeight="1">
      <c r="A4" t="s" s="14">
        <v>8</v>
      </c>
      <c r="B4" t="s" s="14">
        <v>9</v>
      </c>
      <c r="C4" t="s" s="14">
        <v>10</v>
      </c>
      <c r="D4" t="s" s="14">
        <v>11</v>
      </c>
      <c r="E4" t="s" s="14">
        <v>12</v>
      </c>
      <c r="F4" t="s" s="14">
        <v>13</v>
      </c>
      <c r="G4" t="s" s="14">
        <v>14</v>
      </c>
      <c r="H4" t="s" s="14">
        <v>15</v>
      </c>
      <c r="I4" t="s" s="14">
        <v>16</v>
      </c>
      <c r="J4" t="s" s="14">
        <v>17</v>
      </c>
      <c r="K4" t="s" s="14">
        <v>18</v>
      </c>
      <c r="L4" t="s" s="14">
        <v>19</v>
      </c>
      <c r="M4" t="s" s="14">
        <v>20</v>
      </c>
      <c r="N4" s="21"/>
    </row>
    <row r="5" ht="15" customHeight="1">
      <c r="A5" s="17">
        <v>1</v>
      </c>
      <c r="B5" s="18">
        <v>15465500</v>
      </c>
      <c r="C5" s="18">
        <v>54272556</v>
      </c>
      <c r="D5" s="18" cm="1">
        <f t="array" ref="D5">31950384+32317806</f>
        <v>64268190</v>
      </c>
      <c r="E5" s="18">
        <v>69304763</v>
      </c>
      <c r="F5" s="18">
        <v>29941900</v>
      </c>
      <c r="G5" s="18">
        <v>48458150</v>
      </c>
      <c r="H5" s="18">
        <v>52447750</v>
      </c>
      <c r="I5" s="18">
        <v>35326973</v>
      </c>
      <c r="J5" s="18">
        <v>49653755</v>
      </c>
      <c r="K5" s="18">
        <v>38317268</v>
      </c>
      <c r="L5" s="18">
        <v>31405950</v>
      </c>
      <c r="M5" s="18">
        <v>44423850</v>
      </c>
      <c r="N5" s="19"/>
    </row>
    <row r="6" ht="15" customHeight="1">
      <c r="A6" s="17">
        <v>2</v>
      </c>
      <c r="B6" s="18">
        <v>25221256</v>
      </c>
      <c r="C6" s="18">
        <v>33001250</v>
      </c>
      <c r="D6" s="18">
        <v>29259900</v>
      </c>
      <c r="E6" s="18">
        <v>28805700</v>
      </c>
      <c r="F6" s="18">
        <v>26050850</v>
      </c>
      <c r="G6" s="18" cm="1">
        <f t="array" ref="G6">31200000-2000</f>
        <v>31198000</v>
      </c>
      <c r="H6" s="18">
        <v>26397900</v>
      </c>
      <c r="I6" s="18">
        <v>22715750</v>
      </c>
      <c r="J6" s="18">
        <v>35936400</v>
      </c>
      <c r="K6" s="18">
        <v>36290293</v>
      </c>
      <c r="L6" s="18">
        <v>39314246</v>
      </c>
      <c r="M6" s="18">
        <v>25274788</v>
      </c>
      <c r="N6" s="19"/>
    </row>
    <row r="7" ht="15" customHeight="1">
      <c r="A7" s="17">
        <v>3</v>
      </c>
      <c r="B7" s="18">
        <v>25344900</v>
      </c>
      <c r="C7" s="18">
        <v>17519550</v>
      </c>
      <c r="D7" s="18">
        <v>45095200</v>
      </c>
      <c r="E7" s="18">
        <v>23056156</v>
      </c>
      <c r="F7" s="18">
        <v>48054207</v>
      </c>
      <c r="G7" s="18">
        <v>23459431</v>
      </c>
      <c r="H7" s="18">
        <v>55026900</v>
      </c>
      <c r="I7" s="18">
        <v>24390950</v>
      </c>
      <c r="J7" s="18">
        <v>31894950</v>
      </c>
      <c r="K7" s="18">
        <v>35021212</v>
      </c>
      <c r="L7" s="18">
        <v>25376500</v>
      </c>
      <c r="M7" s="18">
        <v>45623800</v>
      </c>
      <c r="N7" s="19"/>
    </row>
    <row r="8" ht="15" customHeight="1">
      <c r="A8" s="17">
        <v>4</v>
      </c>
      <c r="B8" s="18">
        <v>26979650</v>
      </c>
      <c r="C8" s="18">
        <v>34002900</v>
      </c>
      <c r="D8" s="18">
        <v>19139000</v>
      </c>
      <c r="E8" s="18">
        <v>23391800</v>
      </c>
      <c r="F8" s="18">
        <v>28253056</v>
      </c>
      <c r="G8" s="18">
        <v>41440012</v>
      </c>
      <c r="H8" s="18">
        <v>31814400</v>
      </c>
      <c r="I8" s="18">
        <v>20424250</v>
      </c>
      <c r="J8" s="18">
        <v>26837550</v>
      </c>
      <c r="K8" s="18">
        <v>35784850</v>
      </c>
      <c r="L8" s="18">
        <v>56992206</v>
      </c>
      <c r="M8" s="18">
        <v>17012700</v>
      </c>
      <c r="N8" s="19"/>
    </row>
    <row r="9" ht="15" customHeight="1">
      <c r="A9" s="17">
        <v>5</v>
      </c>
      <c r="B9" s="18">
        <v>48113760</v>
      </c>
      <c r="C9" s="18"/>
      <c r="D9" s="18"/>
      <c r="E9" s="18"/>
      <c r="F9" s="18">
        <v>23213000</v>
      </c>
      <c r="G9" s="18"/>
      <c r="H9" s="18">
        <v>32914091</v>
      </c>
      <c r="I9" s="18">
        <v>26954705</v>
      </c>
      <c r="J9" s="18"/>
      <c r="K9" s="18">
        <v>30457950</v>
      </c>
      <c r="L9" s="18"/>
      <c r="M9" s="18" cm="1">
        <f t="array" ref="M9">64693821+9347000</f>
        <v>74040821</v>
      </c>
      <c r="N9" t="s" s="60">
        <v>79</v>
      </c>
    </row>
    <row r="10" ht="15" customHeight="1">
      <c r="A10" t="s" s="20">
        <v>22</v>
      </c>
      <c r="B10" s="18" cm="1">
        <f t="array" ref="B10">SUM(B5:B9)</f>
        <v>141125066</v>
      </c>
      <c r="C10" s="18" cm="1">
        <f t="array" ref="C10">SUM(C5:C9)</f>
        <v>138796256</v>
      </c>
      <c r="D10" s="18" cm="1">
        <f t="array" ref="D10">SUM(D5:D9)</f>
        <v>157762290</v>
      </c>
      <c r="E10" s="18" cm="1">
        <f t="array" ref="E10">SUM(E5:E9)</f>
        <v>144558419</v>
      </c>
      <c r="F10" s="18" cm="1">
        <f t="array" ref="F10">SUM(F5:F9)</f>
        <v>155513013</v>
      </c>
      <c r="G10" s="18" cm="1">
        <f t="array" ref="G10">SUM(G5:G9)</f>
        <v>144555593</v>
      </c>
      <c r="H10" s="18" cm="1">
        <f t="array" ref="H10">SUM(H5:H9)</f>
        <v>198601041</v>
      </c>
      <c r="I10" s="18" cm="1">
        <f t="array" ref="I10">SUM(I5:I9)</f>
        <v>129812628</v>
      </c>
      <c r="J10" s="18" cm="1">
        <f t="array" ref="J10">SUM(J5:J9)</f>
        <v>144322655</v>
      </c>
      <c r="K10" s="18" cm="1">
        <f t="array" ref="K10">SUM(K5:K9)</f>
        <v>175871573</v>
      </c>
      <c r="L10" s="18" cm="1">
        <f t="array" ref="L10">SUM(L5:L9)</f>
        <v>153088902</v>
      </c>
      <c r="M10" s="18" cm="1">
        <f t="array" ref="M10">SUM(M5:M9)</f>
        <v>206375959</v>
      </c>
      <c r="N10" s="61"/>
    </row>
    <row r="11" ht="15" customHeight="1">
      <c r="A11" t="s" s="20">
        <v>23</v>
      </c>
      <c r="B11" s="18" cm="1">
        <f t="array" ref="B11">AVERAGE(B5:B9)</f>
        <v>28225013.2</v>
      </c>
      <c r="C11" s="18" cm="1">
        <f t="array" ref="C11">AVERAGE(C5:C9)</f>
        <v>34699064</v>
      </c>
      <c r="D11" s="18" cm="1">
        <f t="array" ref="D11">AVERAGE(D5:D9)</f>
        <v>39440572.5</v>
      </c>
      <c r="E11" s="18" cm="1">
        <f t="array" ref="E11">AVERAGE(E5:E9)</f>
        <v>36139604.75</v>
      </c>
      <c r="F11" s="18" cm="1">
        <f t="array" ref="F11">AVERAGE(F5:F9)</f>
        <v>31102602.6</v>
      </c>
      <c r="G11" s="18" cm="1">
        <f t="array" ref="G11">AVERAGE(G5:G9)</f>
        <v>36138898.25</v>
      </c>
      <c r="H11" s="18" cm="1">
        <f t="array" ref="H11">AVERAGE(H5:H9)</f>
        <v>39720208.2</v>
      </c>
      <c r="I11" s="18" cm="1">
        <f t="array" ref="I11">AVERAGE(I5:I9)</f>
        <v>25962525.6</v>
      </c>
      <c r="J11" s="18" cm="1">
        <f t="array" ref="J11">AVERAGE(J5:J9)</f>
        <v>36080663.75</v>
      </c>
      <c r="K11" s="18" cm="1">
        <f t="array" ref="K11">AVERAGE(K5:K9)</f>
        <v>35174314.6</v>
      </c>
      <c r="L11" s="18" cm="1">
        <f t="array" ref="L11">AVERAGE(L5:L9)</f>
        <v>38272225.5</v>
      </c>
      <c r="M11" s="18" cm="1">
        <f t="array" ref="M11">AVERAGE(M5:M9)</f>
        <v>41275191.8</v>
      </c>
      <c r="N11" s="21"/>
    </row>
    <row r="12" ht="15" customHeight="1">
      <c r="A12" t="s" s="22">
        <v>24</v>
      </c>
      <c r="B12" s="23"/>
      <c r="C12" s="24" cm="1">
        <f t="array" ref="C12">C10/B10-1</f>
        <v>-0.0165017460470134</v>
      </c>
      <c r="D12" s="24" cm="1">
        <f t="array" ref="D12">D10/C10-1</f>
        <v>0.136646582167173</v>
      </c>
      <c r="E12" s="24" cm="1">
        <f t="array" ref="E12">E10/D10-1</f>
        <v>-0.0836947219769693</v>
      </c>
      <c r="F12" s="24" cm="1">
        <f t="array" ref="F12">F10/E10-1</f>
        <v>0.0757797025989887</v>
      </c>
      <c r="G12" s="24" cm="1">
        <f t="array" ref="G12">G10/F10-1</f>
        <v>-0.0704598270499717</v>
      </c>
      <c r="H12" s="24" cm="1">
        <f t="array" ref="H12">H10/G10-1</f>
        <v>0.373873102232717</v>
      </c>
      <c r="I12" s="24" cm="1">
        <f t="array" ref="I12">I10/H10-1</f>
        <v>-0.346364815882309</v>
      </c>
      <c r="J12" s="24" cm="1">
        <f t="array" ref="J12">J10/I10-1</f>
        <v>0.111776698642909</v>
      </c>
      <c r="K12" s="24" cm="1">
        <f t="array" ref="K12">K10/J10-1</f>
        <v>0.218599900341357</v>
      </c>
      <c r="L12" s="24" cm="1">
        <f t="array" ref="L12">L10/K10-1</f>
        <v>-0.129541520618571</v>
      </c>
      <c r="M12" s="24" cm="1">
        <f t="array" ref="M12">M10/L10-1</f>
        <v>0.348079163831223</v>
      </c>
      <c r="N12" s="10"/>
    </row>
    <row r="13" ht="15" customHeight="1">
      <c r="A13" t="s" s="25">
        <v>80</v>
      </c>
      <c r="B13" s="26" cm="1">
        <f t="array" ref="B13">B10</f>
        <v>141125066</v>
      </c>
      <c r="C13" s="26" cm="1">
        <f t="array" ref="C13">C10+B13</f>
        <v>279921322</v>
      </c>
      <c r="D13" s="26" cm="1">
        <f t="array" ref="D13">D10+C13</f>
        <v>437683612</v>
      </c>
      <c r="E13" s="26" cm="1">
        <f t="array" ref="E13">E10+D13</f>
        <v>582242031</v>
      </c>
      <c r="F13" s="26" cm="1">
        <f t="array" ref="F13">F10+E13</f>
        <v>737755044</v>
      </c>
      <c r="G13" s="26" cm="1">
        <f t="array" ref="G13">G10+F13</f>
        <v>882310637</v>
      </c>
      <c r="H13" s="26" cm="1">
        <f t="array" ref="H13">H10+G13</f>
        <v>1080911678</v>
      </c>
      <c r="I13" s="26" cm="1">
        <f t="array" ref="I13">I10+H13</f>
        <v>1210724306</v>
      </c>
      <c r="J13" s="26" cm="1">
        <f t="array" ref="J13">J10+I13</f>
        <v>1355046961</v>
      </c>
      <c r="K13" s="26" cm="1">
        <f t="array" ref="K13">K10+J13</f>
        <v>1530918534</v>
      </c>
      <c r="L13" s="26" cm="1">
        <f t="array" ref="L13">L10+K13</f>
        <v>1684007436</v>
      </c>
      <c r="M13" s="26" cm="1">
        <f t="array" ref="M13">M10+L13</f>
        <v>1890383395</v>
      </c>
      <c r="N13" s="27" cm="1">
        <f t="array" ref="N13">M13/12</f>
        <v>157531949.583333</v>
      </c>
    </row>
    <row r="14" ht="15" customHeight="1">
      <c r="A14" t="s" s="25">
        <v>81</v>
      </c>
      <c r="B14" s="26">
        <v>25344200</v>
      </c>
      <c r="C14" s="26">
        <v>72493250</v>
      </c>
      <c r="D14" s="26">
        <v>208868732</v>
      </c>
      <c r="E14" s="26">
        <v>319246132</v>
      </c>
      <c r="F14" s="26">
        <v>474774654</v>
      </c>
      <c r="G14" s="26">
        <v>574871904</v>
      </c>
      <c r="H14" s="26">
        <v>696450621</v>
      </c>
      <c r="I14" s="26">
        <v>871504711</v>
      </c>
      <c r="J14" s="26">
        <v>1002057453</v>
      </c>
      <c r="K14" s="26">
        <v>1146536590</v>
      </c>
      <c r="L14" s="26">
        <v>1342267323</v>
      </c>
      <c r="M14" s="26">
        <v>1525546474</v>
      </c>
      <c r="N14" s="27" cm="1">
        <f t="array" ref="N14">M14/12</f>
        <v>127128872.833333</v>
      </c>
    </row>
    <row r="15" ht="15" customHeight="1">
      <c r="A15" t="s" s="25">
        <v>82</v>
      </c>
      <c r="B15" s="28" cm="1">
        <f t="array" ref="B15">B13/B14-1</f>
        <v>4.56833776564263</v>
      </c>
      <c r="C15" s="28" cm="1">
        <f t="array" ref="C15">C13/C14-1</f>
        <v>2.86134325609626</v>
      </c>
      <c r="D15" s="28" cm="1">
        <f t="array" ref="D15">D13/D14-1</f>
        <v>1.09549609369008</v>
      </c>
      <c r="E15" s="28" cm="1">
        <f t="array" ref="E15">E13/E14-1</f>
        <v>0.8238029302106</v>
      </c>
      <c r="F15" s="28" cm="1">
        <f t="array" ref="F15">F13/F14-1</f>
        <v>0.553905706179505</v>
      </c>
      <c r="G15" s="28" cm="1">
        <f t="array" ref="G15">G13/G14-1</f>
        <v>0.5347951967400379</v>
      </c>
      <c r="H15" s="28" cm="1">
        <f t="array" ref="H15">H13/H14-1</f>
        <v>0.552029168195687</v>
      </c>
      <c r="I15" s="28" cm="1">
        <f t="array" ref="I15">I13/I14-1</f>
        <v>0.389234379021045</v>
      </c>
      <c r="J15" s="28" cm="1">
        <f t="array" ref="J15">J13/J14-1</f>
        <v>0.352264739854193</v>
      </c>
      <c r="K15" s="28" cm="1">
        <f t="array" ref="K15">K13/K14-1</f>
        <v>0.335254842586402</v>
      </c>
      <c r="L15" s="28" cm="1">
        <f t="array" ref="L15">L13/L14-1</f>
        <v>0.254599145151059</v>
      </c>
      <c r="M15" s="28" cm="1">
        <f t="array" ref="M15">M13/M14-1</f>
        <v>0.239151626789444</v>
      </c>
      <c r="N15" s="62"/>
    </row>
    <row r="16" ht="15" customHeight="1">
      <c r="A16" s="11"/>
      <c r="B16" s="28"/>
      <c r="C16" s="28"/>
      <c r="D16" s="28"/>
      <c r="E16" s="28"/>
      <c r="F16" s="28"/>
      <c r="G16" s="28"/>
      <c r="H16" s="28"/>
      <c r="I16" s="28"/>
      <c r="J16" s="28"/>
      <c r="K16" s="28"/>
      <c r="L16" s="28"/>
      <c r="M16" s="63"/>
      <c r="N16" s="10"/>
    </row>
    <row r="17" ht="15" customHeight="1">
      <c r="A17" s="64"/>
      <c r="B17" s="28"/>
      <c r="C17" s="28"/>
      <c r="D17" s="28"/>
      <c r="E17" s="28"/>
      <c r="F17" s="28"/>
      <c r="G17" s="28"/>
      <c r="H17" s="28"/>
      <c r="I17" s="28"/>
      <c r="J17" s="28"/>
      <c r="K17" s="28"/>
      <c r="L17" s="28"/>
      <c r="M17" s="63"/>
      <c r="N17" s="10"/>
    </row>
    <row r="18" ht="15" customHeight="1">
      <c r="A18" s="13"/>
      <c r="B18" s="29"/>
      <c r="C18" s="29"/>
      <c r="D18" s="29"/>
      <c r="E18" s="29"/>
      <c r="F18" s="13"/>
      <c r="G18" s="13"/>
      <c r="H18" s="13"/>
      <c r="I18" s="13"/>
      <c r="J18" s="13"/>
      <c r="K18" s="13"/>
      <c r="L18" s="13"/>
      <c r="M18" s="13"/>
      <c r="N18" s="10"/>
    </row>
    <row r="19" ht="15" customHeight="1">
      <c r="A19" s="30"/>
      <c r="B19" s="23"/>
      <c r="C19" s="23"/>
      <c r="D19" s="23"/>
      <c r="E19" s="23"/>
      <c r="F19" s="23"/>
      <c r="G19" s="23"/>
      <c r="H19" s="23"/>
      <c r="I19" s="23"/>
      <c r="J19" s="23"/>
      <c r="K19" s="23"/>
      <c r="L19" s="23"/>
      <c r="M19" s="23"/>
      <c r="N19" s="27"/>
    </row>
    <row r="20" ht="15" customHeight="1">
      <c r="A20" s="11"/>
      <c r="B20" s="26"/>
      <c r="C20" s="26"/>
      <c r="D20" s="26"/>
      <c r="E20" s="26"/>
      <c r="F20" s="26"/>
      <c r="G20" s="26"/>
      <c r="H20" s="26"/>
      <c r="I20" s="26"/>
      <c r="J20" s="26"/>
      <c r="K20" s="26"/>
      <c r="L20" s="26"/>
      <c r="M20" s="26"/>
      <c r="N20" s="27"/>
    </row>
    <row r="21" ht="23" customHeight="1">
      <c r="A21" t="s" s="7">
        <v>6</v>
      </c>
      <c r="B21" s="8"/>
      <c r="C21" s="8"/>
      <c r="D21" s="9"/>
      <c r="E21" s="9"/>
      <c r="F21" s="9"/>
      <c r="G21" s="9"/>
      <c r="H21" s="9"/>
      <c r="I21" s="9"/>
      <c r="J21" s="9"/>
      <c r="K21" s="9"/>
      <c r="L21" s="9"/>
      <c r="M21" s="9"/>
      <c r="N21" s="27"/>
    </row>
    <row r="22" ht="23" customHeight="1">
      <c r="A22" t="s" s="7">
        <v>83</v>
      </c>
      <c r="B22" s="8"/>
      <c r="C22" s="8"/>
      <c r="D22" s="12"/>
      <c r="E22" s="12"/>
      <c r="F22" s="12"/>
      <c r="G22" s="12"/>
      <c r="H22" s="12"/>
      <c r="I22" s="12"/>
      <c r="J22" s="12"/>
      <c r="K22" s="12"/>
      <c r="L22" s="12"/>
      <c r="M22" s="12"/>
      <c r="N22" s="27"/>
    </row>
    <row r="23" ht="23" customHeight="1">
      <c r="A23" s="8"/>
      <c r="B23" s="8"/>
      <c r="C23" s="8"/>
      <c r="D23" s="9"/>
      <c r="E23" s="9"/>
      <c r="F23" s="9"/>
      <c r="G23" s="9"/>
      <c r="H23" s="9"/>
      <c r="I23" s="9"/>
      <c r="J23" s="9"/>
      <c r="K23" s="9"/>
      <c r="L23" s="9"/>
      <c r="M23" s="9"/>
      <c r="N23" s="27"/>
    </row>
    <row r="24" ht="15" customHeight="1">
      <c r="A24" s="13"/>
      <c r="B24" s="13"/>
      <c r="C24" s="13"/>
      <c r="D24" s="13"/>
      <c r="E24" s="13"/>
      <c r="F24" s="13"/>
      <c r="G24" s="31"/>
      <c r="H24" s="13"/>
      <c r="I24" s="13"/>
      <c r="J24" s="13"/>
      <c r="K24" s="13"/>
      <c r="L24" s="13"/>
      <c r="M24" s="13"/>
      <c r="N24" s="26"/>
    </row>
    <row r="25" ht="15" customHeight="1">
      <c r="A25" t="s" s="32">
        <v>28</v>
      </c>
      <c r="B25" t="s" s="14">
        <v>9</v>
      </c>
      <c r="C25" t="s" s="14">
        <v>10</v>
      </c>
      <c r="D25" t="s" s="14">
        <v>11</v>
      </c>
      <c r="E25" t="s" s="14">
        <v>12</v>
      </c>
      <c r="F25" t="s" s="14">
        <v>13</v>
      </c>
      <c r="G25" t="s" s="14">
        <v>14</v>
      </c>
      <c r="H25" t="s" s="14">
        <v>15</v>
      </c>
      <c r="I25" t="s" s="14">
        <v>16</v>
      </c>
      <c r="J25" t="s" s="14">
        <v>17</v>
      </c>
      <c r="K25" t="s" s="14">
        <v>18</v>
      </c>
      <c r="L25" t="s" s="14">
        <v>19</v>
      </c>
      <c r="M25" t="s" s="14">
        <v>20</v>
      </c>
      <c r="N25" t="s" s="65">
        <v>84</v>
      </c>
    </row>
    <row r="26" ht="15" customHeight="1">
      <c r="A26" t="s" s="33">
        <v>29</v>
      </c>
      <c r="B26" s="66">
        <v>749</v>
      </c>
      <c r="C26" s="66">
        <v>1227</v>
      </c>
      <c r="D26" s="66">
        <v>1141</v>
      </c>
      <c r="E26" s="17">
        <v>888</v>
      </c>
      <c r="F26" s="17">
        <v>1007</v>
      </c>
      <c r="G26" s="17">
        <v>1038</v>
      </c>
      <c r="H26" s="17">
        <v>1156</v>
      </c>
      <c r="I26" s="17">
        <v>1171</v>
      </c>
      <c r="J26" s="17">
        <v>1176</v>
      </c>
      <c r="K26" s="35"/>
      <c r="L26" s="35"/>
      <c r="M26" s="35"/>
      <c r="N26" s="36"/>
    </row>
    <row r="27" ht="15" customHeight="1">
      <c r="A27" t="s" s="33">
        <v>30</v>
      </c>
      <c r="B27" s="38"/>
      <c r="C27" s="38" cm="1">
        <f t="array" ref="C27">1090/4</f>
        <v>272.5</v>
      </c>
      <c r="D27" s="38" cm="1">
        <f t="array" ref="D27">444/5</f>
        <v>88.8</v>
      </c>
      <c r="E27" s="17">
        <v>141</v>
      </c>
      <c r="F27" s="17">
        <v>92</v>
      </c>
      <c r="G27" s="17">
        <v>75</v>
      </c>
      <c r="H27" s="17">
        <v>131</v>
      </c>
      <c r="I27" s="17">
        <v>72</v>
      </c>
      <c r="J27" s="17" cm="1">
        <f t="array" ref="J27">1760/4</f>
        <v>440</v>
      </c>
      <c r="K27" s="35"/>
      <c r="L27" s="35"/>
      <c r="M27" s="35"/>
      <c r="N27" s="67" cm="1">
        <f t="array" ref="N27">AVERAGE(C27:J27)</f>
        <v>164.0375</v>
      </c>
    </row>
    <row r="28" ht="15" customHeight="1">
      <c r="A28" t="s" s="33">
        <v>31</v>
      </c>
      <c r="B28" s="38">
        <v>336</v>
      </c>
      <c r="C28" s="38">
        <v>172</v>
      </c>
      <c r="D28" s="38">
        <v>155</v>
      </c>
      <c r="E28" s="17">
        <v>124</v>
      </c>
      <c r="F28" s="17">
        <v>164</v>
      </c>
      <c r="G28" s="35"/>
      <c r="H28" s="35"/>
      <c r="I28" s="35"/>
      <c r="J28" s="35"/>
      <c r="K28" s="35"/>
      <c r="L28" s="35"/>
      <c r="M28" s="35"/>
      <c r="N28" s="67" cm="1">
        <f t="array" ref="N28">AVERAGE(B28:F28)</f>
        <v>190.2</v>
      </c>
    </row>
    <row r="29" ht="15" customHeight="1">
      <c r="A29" t="s" s="33">
        <v>32</v>
      </c>
      <c r="B29" s="38" cm="1">
        <f t="array" ref="B29">(73+697)</f>
        <v>770</v>
      </c>
      <c r="C29" s="38" cm="1">
        <f t="array" ref="C29">(90+865+20)</f>
        <v>975</v>
      </c>
      <c r="D29" s="38" cm="1">
        <f t="array" ref="D29">(102+1053+21)</f>
        <v>1176</v>
      </c>
      <c r="E29" s="17" cm="1">
        <f t="array" ref="E29">(75+841)</f>
        <v>916</v>
      </c>
      <c r="F29" s="17" cm="1">
        <f t="array" ref="F29">(33+783+20)</f>
        <v>836</v>
      </c>
      <c r="G29" s="17" cm="1">
        <f t="array" ref="G29">49+825+24</f>
        <v>898</v>
      </c>
      <c r="H29" s="17" cm="1">
        <f t="array" ref="H29">44+911+36</f>
        <v>991</v>
      </c>
      <c r="I29" s="17" cm="1">
        <f t="array" ref="I29">52+1046+31</f>
        <v>1129</v>
      </c>
      <c r="J29" s="17" cm="1">
        <f t="array" ref="J29">76+807+44</f>
        <v>927</v>
      </c>
      <c r="K29" s="17" cm="1">
        <f t="array" ref="K29">31+757+31</f>
        <v>819</v>
      </c>
      <c r="L29" s="17" cm="1">
        <f t="array" ref="L29">38+826+28</f>
        <v>892</v>
      </c>
      <c r="M29" s="17" cm="1">
        <f t="array" ref="M29">58+839+48</f>
        <v>945</v>
      </c>
      <c r="N29" s="67" cm="1">
        <f t="array" ref="N29">AVERAGE(B29:L29)</f>
        <v>939</v>
      </c>
    </row>
    <row r="30" ht="15" customHeight="1">
      <c r="A30" t="s" s="33">
        <v>33</v>
      </c>
      <c r="B30" s="38">
        <v>195</v>
      </c>
      <c r="C30" s="38">
        <v>251</v>
      </c>
      <c r="D30" s="38">
        <v>224</v>
      </c>
      <c r="E30" s="17">
        <v>209</v>
      </c>
      <c r="F30" s="17">
        <v>200</v>
      </c>
      <c r="G30" s="17">
        <v>189</v>
      </c>
      <c r="H30" s="17">
        <v>203</v>
      </c>
      <c r="I30" s="17" cm="1">
        <f t="array" ref="I30">822/4</f>
        <v>205.5</v>
      </c>
      <c r="J30" s="17" cm="1">
        <f t="array" ref="J30">796/4</f>
        <v>199</v>
      </c>
      <c r="K30" s="17" cm="1">
        <f t="array" ref="K30">1098/5</f>
        <v>219.6</v>
      </c>
      <c r="L30" s="35"/>
      <c r="M30" s="35"/>
      <c r="N30" s="67" cm="1">
        <f t="array" ref="N30">AVERAGE(B30:K30)</f>
        <v>209.51</v>
      </c>
    </row>
    <row r="31" ht="15" customHeight="1">
      <c r="A31" t="s" s="33">
        <v>34</v>
      </c>
      <c r="B31" s="35"/>
      <c r="C31" s="35"/>
      <c r="D31" s="35"/>
      <c r="E31" s="35"/>
      <c r="F31" s="35"/>
      <c r="G31" s="35"/>
      <c r="H31" s="35"/>
      <c r="I31" s="35"/>
      <c r="J31" s="35"/>
      <c r="K31" s="35"/>
      <c r="L31" s="35"/>
      <c r="M31" s="35"/>
      <c r="N31" s="36"/>
    </row>
    <row r="32" ht="15" customHeight="1">
      <c r="A32" s="37"/>
      <c r="B32" s="37"/>
      <c r="C32" s="37"/>
      <c r="D32" s="37"/>
      <c r="E32" s="37"/>
      <c r="F32" s="37"/>
      <c r="G32" s="37"/>
      <c r="H32" s="37"/>
      <c r="I32" s="37"/>
      <c r="J32" s="37"/>
      <c r="K32" s="37"/>
      <c r="L32" s="37"/>
      <c r="M32" s="37"/>
      <c r="N32" s="11"/>
    </row>
    <row r="33" ht="15" customHeight="1">
      <c r="A33" t="s" s="32">
        <v>28</v>
      </c>
      <c r="B33" t="s" s="14">
        <v>9</v>
      </c>
      <c r="C33" t="s" s="14">
        <v>10</v>
      </c>
      <c r="D33" t="s" s="14">
        <v>11</v>
      </c>
      <c r="E33" t="s" s="14">
        <v>12</v>
      </c>
      <c r="F33" t="s" s="14">
        <v>13</v>
      </c>
      <c r="G33" t="s" s="14">
        <v>14</v>
      </c>
      <c r="H33" t="s" s="14">
        <v>15</v>
      </c>
      <c r="I33" t="s" s="14">
        <v>16</v>
      </c>
      <c r="J33" t="s" s="14">
        <v>17</v>
      </c>
      <c r="K33" t="s" s="14">
        <v>18</v>
      </c>
      <c r="L33" t="s" s="14">
        <v>19</v>
      </c>
      <c r="M33" t="s" s="14">
        <v>20</v>
      </c>
      <c r="N33" s="36"/>
    </row>
    <row r="34" ht="15" customHeight="1">
      <c r="A34" t="s" s="33">
        <v>35</v>
      </c>
      <c r="B34" s="17" cm="1">
        <f t="array" ref="B34">20+84</f>
        <v>104</v>
      </c>
      <c r="C34" s="17" cm="1">
        <f t="array" ref="C34">14+74</f>
        <v>88</v>
      </c>
      <c r="D34" s="17">
        <v>106</v>
      </c>
      <c r="E34" s="17" cm="1">
        <f t="array" ref="E34">86+16</f>
        <v>102</v>
      </c>
      <c r="F34" s="17" cm="1">
        <f t="array" ref="F34">4+64</f>
        <v>68</v>
      </c>
      <c r="G34" s="17" cm="1">
        <f t="array" ref="G34">9+43</f>
        <v>52</v>
      </c>
      <c r="H34" s="17" cm="1">
        <f t="array" ref="H34">3+88+2</f>
        <v>93</v>
      </c>
      <c r="I34" s="17" cm="1">
        <f t="array" ref="I34">3+53+3</f>
        <v>59</v>
      </c>
      <c r="J34" s="17" cm="1">
        <f t="array" ref="J34">60+84+0</f>
        <v>144</v>
      </c>
      <c r="K34" s="17" cm="1">
        <f t="array" ref="K34">7+76+1</f>
        <v>84</v>
      </c>
      <c r="L34" s="17">
        <v>41</v>
      </c>
      <c r="M34" s="17" cm="1">
        <f t="array" ref="M34">1+52+3</f>
        <v>56</v>
      </c>
      <c r="N34" s="36"/>
    </row>
    <row r="35" ht="15" customHeight="1">
      <c r="A35" t="s" s="33">
        <v>85</v>
      </c>
      <c r="B35" s="17">
        <v>42</v>
      </c>
      <c r="C35" s="17">
        <v>26</v>
      </c>
      <c r="D35" s="17">
        <v>34</v>
      </c>
      <c r="E35" s="17">
        <v>25</v>
      </c>
      <c r="F35" s="17">
        <v>22</v>
      </c>
      <c r="G35" s="17">
        <v>29</v>
      </c>
      <c r="H35" s="17">
        <v>22</v>
      </c>
      <c r="I35" s="17">
        <v>50</v>
      </c>
      <c r="J35" s="17">
        <v>20</v>
      </c>
      <c r="K35" s="17">
        <v>23</v>
      </c>
      <c r="L35" s="17">
        <v>26</v>
      </c>
      <c r="M35" s="35"/>
      <c r="N35" s="36"/>
    </row>
    <row r="36" ht="15" customHeight="1">
      <c r="A36" t="s" s="33">
        <v>37</v>
      </c>
      <c r="B36" s="17">
        <v>9</v>
      </c>
      <c r="C36" s="17">
        <v>19</v>
      </c>
      <c r="D36" s="17">
        <v>10</v>
      </c>
      <c r="E36" s="17">
        <v>13</v>
      </c>
      <c r="F36" s="17">
        <v>12</v>
      </c>
      <c r="G36" s="17">
        <v>19</v>
      </c>
      <c r="H36" s="17">
        <v>8</v>
      </c>
      <c r="I36" s="17">
        <v>21</v>
      </c>
      <c r="J36" s="17">
        <v>15</v>
      </c>
      <c r="K36" s="17">
        <v>23</v>
      </c>
      <c r="L36" s="17">
        <v>21</v>
      </c>
      <c r="M36" s="35"/>
      <c r="N36" s="36"/>
    </row>
    <row r="37" ht="15" customHeight="1">
      <c r="A37" t="s" s="33">
        <v>38</v>
      </c>
      <c r="B37" s="17">
        <v>126</v>
      </c>
      <c r="C37" s="17">
        <v>126</v>
      </c>
      <c r="D37" s="17">
        <v>126</v>
      </c>
      <c r="E37" s="17">
        <v>126</v>
      </c>
      <c r="F37" s="17">
        <v>126</v>
      </c>
      <c r="G37" s="17">
        <v>126</v>
      </c>
      <c r="H37" s="17">
        <v>146</v>
      </c>
      <c r="I37" s="17">
        <v>146</v>
      </c>
      <c r="J37" s="17">
        <v>146</v>
      </c>
      <c r="K37" s="17">
        <v>146</v>
      </c>
      <c r="L37" s="17">
        <v>146</v>
      </c>
      <c r="M37" s="17">
        <v>146</v>
      </c>
      <c r="N37" s="36"/>
    </row>
    <row r="38" ht="15" customHeight="1">
      <c r="A38" s="39"/>
      <c r="B38" s="35"/>
      <c r="C38" s="35"/>
      <c r="D38" s="35"/>
      <c r="E38" s="35"/>
      <c r="F38" s="35"/>
      <c r="G38" s="35"/>
      <c r="H38" s="35"/>
      <c r="I38" s="35"/>
      <c r="J38" s="35"/>
      <c r="K38" s="35"/>
      <c r="L38" s="35"/>
      <c r="M38" s="35"/>
      <c r="N38" s="36"/>
    </row>
    <row r="39" ht="29" customHeight="1">
      <c r="A39" t="s" s="68">
        <v>86</v>
      </c>
      <c r="B39" t="s" s="14">
        <v>9</v>
      </c>
      <c r="C39" t="s" s="14">
        <v>10</v>
      </c>
      <c r="D39" t="s" s="14">
        <v>11</v>
      </c>
      <c r="E39" t="s" s="14">
        <v>12</v>
      </c>
      <c r="F39" t="s" s="14">
        <v>13</v>
      </c>
      <c r="G39" t="s" s="14">
        <v>14</v>
      </c>
      <c r="H39" t="s" s="14">
        <v>15</v>
      </c>
      <c r="I39" t="s" s="14">
        <v>16</v>
      </c>
      <c r="J39" t="s" s="14">
        <v>17</v>
      </c>
      <c r="K39" t="s" s="14">
        <v>18</v>
      </c>
      <c r="L39" t="s" s="14">
        <v>19</v>
      </c>
      <c r="M39" t="s" s="14">
        <v>20</v>
      </c>
      <c r="N39" s="36"/>
    </row>
    <row r="40" ht="15" customHeight="1">
      <c r="A40" t="s" s="33">
        <v>39</v>
      </c>
      <c r="B40" s="17">
        <v>201</v>
      </c>
      <c r="C40" s="17">
        <v>210</v>
      </c>
      <c r="D40" s="17">
        <v>178</v>
      </c>
      <c r="E40" s="17" cm="1">
        <f t="array" ref="E40">110+53+48</f>
        <v>211</v>
      </c>
      <c r="F40" s="17">
        <v>217</v>
      </c>
      <c r="G40" s="17">
        <v>201</v>
      </c>
      <c r="H40" s="17">
        <v>230</v>
      </c>
      <c r="I40" s="17">
        <v>240</v>
      </c>
      <c r="J40" s="17">
        <v>243</v>
      </c>
      <c r="K40" s="17">
        <v>220</v>
      </c>
      <c r="L40" s="17">
        <v>190</v>
      </c>
      <c r="M40" s="35"/>
      <c r="N40" s="36"/>
    </row>
    <row r="41" ht="15" customHeight="1">
      <c r="A41" t="s" s="33">
        <v>40</v>
      </c>
      <c r="B41" s="35"/>
      <c r="C41" s="17" cm="1">
        <f t="array" ref="C41">(241+150)/2</f>
        <v>195.5</v>
      </c>
      <c r="D41" s="17">
        <v>110</v>
      </c>
      <c r="E41" s="17" cm="1">
        <f t="array" ref="E41">(161+121)/2</f>
        <v>141</v>
      </c>
      <c r="F41" s="17" cm="1">
        <f t="array" ref="F41">(203+136)/2</f>
        <v>169.5</v>
      </c>
      <c r="G41" s="17" cm="1">
        <f t="array" ref="G41">(209+77)/2</f>
        <v>143</v>
      </c>
      <c r="H41" s="17" cm="1">
        <f t="array" ref="H41">(158+225)/2</f>
        <v>191.5</v>
      </c>
      <c r="I41" s="17">
        <v>148</v>
      </c>
      <c r="J41" s="17" cm="1">
        <f t="array" ref="J41">(197+127)/2</f>
        <v>162</v>
      </c>
      <c r="K41" s="35"/>
      <c r="L41" s="35"/>
      <c r="M41" s="35"/>
      <c r="N41" s="36"/>
    </row>
    <row r="42" ht="15" customHeight="1">
      <c r="A42" t="s" s="33">
        <v>41</v>
      </c>
      <c r="B42" s="17">
        <v>56</v>
      </c>
      <c r="C42" s="17">
        <v>56</v>
      </c>
      <c r="D42" s="17">
        <v>56</v>
      </c>
      <c r="E42" s="17">
        <v>56</v>
      </c>
      <c r="F42" s="17">
        <v>56</v>
      </c>
      <c r="G42" s="17">
        <v>56</v>
      </c>
      <c r="H42" s="17">
        <v>56</v>
      </c>
      <c r="I42" s="17">
        <v>56</v>
      </c>
      <c r="J42" s="17">
        <v>56</v>
      </c>
      <c r="K42" s="35"/>
      <c r="L42" s="35"/>
      <c r="M42" s="35"/>
      <c r="N42" s="36"/>
    </row>
    <row r="43" ht="15" customHeight="1">
      <c r="A43" t="s" s="33">
        <v>42</v>
      </c>
      <c r="B43" s="39"/>
      <c r="C43" s="17">
        <v>118</v>
      </c>
      <c r="D43" s="17">
        <v>105</v>
      </c>
      <c r="E43" s="17">
        <v>120</v>
      </c>
      <c r="F43" s="17">
        <v>103</v>
      </c>
      <c r="G43" s="17">
        <v>127</v>
      </c>
      <c r="H43" s="17">
        <v>130</v>
      </c>
      <c r="I43" s="17">
        <v>113</v>
      </c>
      <c r="J43" s="17">
        <v>122</v>
      </c>
      <c r="K43" s="39"/>
      <c r="L43" s="39"/>
      <c r="M43" s="39"/>
      <c r="N43" s="36"/>
    </row>
    <row r="44" ht="15" customHeight="1">
      <c r="A44" t="s" s="33">
        <v>87</v>
      </c>
      <c r="B44" s="39"/>
      <c r="C44" s="17">
        <v>15</v>
      </c>
      <c r="D44" s="17">
        <v>22</v>
      </c>
      <c r="E44" s="17">
        <v>28</v>
      </c>
      <c r="F44" s="17">
        <v>25</v>
      </c>
      <c r="G44" s="17">
        <v>29</v>
      </c>
      <c r="H44" s="17">
        <v>25</v>
      </c>
      <c r="I44" s="17">
        <v>30</v>
      </c>
      <c r="J44" s="17">
        <v>32</v>
      </c>
      <c r="K44" s="39"/>
      <c r="L44" s="39"/>
      <c r="M44" s="39"/>
      <c r="N44" s="36"/>
    </row>
    <row r="45" ht="15" customHeight="1">
      <c r="A45" t="s" s="33">
        <v>88</v>
      </c>
      <c r="B45" s="39"/>
      <c r="C45" s="35"/>
      <c r="D45" s="35"/>
      <c r="E45" s="35"/>
      <c r="F45" s="35"/>
      <c r="G45" s="39"/>
      <c r="H45" s="17">
        <v>300</v>
      </c>
      <c r="I45" s="39"/>
      <c r="J45" s="39"/>
      <c r="K45" s="17">
        <v>60</v>
      </c>
      <c r="L45" s="39"/>
      <c r="M45" s="39"/>
      <c r="N45" s="36"/>
    </row>
    <row r="46" ht="15" customHeight="1">
      <c r="A46" t="s" s="33">
        <v>43</v>
      </c>
      <c r="B46" s="39"/>
      <c r="C46" s="17">
        <v>15</v>
      </c>
      <c r="D46" s="17">
        <v>15</v>
      </c>
      <c r="E46" s="17">
        <v>16</v>
      </c>
      <c r="F46" s="17">
        <v>16</v>
      </c>
      <c r="G46" s="17">
        <v>13</v>
      </c>
      <c r="H46" s="17">
        <v>14</v>
      </c>
      <c r="I46" s="17">
        <v>18</v>
      </c>
      <c r="J46" s="17">
        <v>20</v>
      </c>
      <c r="K46" s="17">
        <v>23</v>
      </c>
      <c r="L46" s="39"/>
      <c r="M46" s="39"/>
      <c r="N46" s="36"/>
    </row>
    <row r="47" ht="15" customHeight="1">
      <c r="A47" t="s" s="33">
        <v>22</v>
      </c>
      <c r="B47" s="17" cm="1">
        <f t="array" ref="B47">SUM(B40:B46)</f>
        <v>257</v>
      </c>
      <c r="C47" s="17" cm="1">
        <f t="array" ref="C47">SUM(C40:C46)</f>
        <v>609.5</v>
      </c>
      <c r="D47" s="17" cm="1">
        <f t="array" ref="D47">SUM(D40:D46)</f>
        <v>486</v>
      </c>
      <c r="E47" s="17" cm="1">
        <f t="array" ref="E47">SUM(E40:E46)</f>
        <v>572</v>
      </c>
      <c r="F47" s="17" cm="1">
        <f t="array" ref="F47">SUM(F40:F46)</f>
        <v>586.5</v>
      </c>
      <c r="G47" s="17" cm="1">
        <f t="array" ref="G47">SUM(G40:G46)</f>
        <v>569</v>
      </c>
      <c r="H47" s="17" cm="1">
        <f t="array" ref="H47">SUM(H40:H46)</f>
        <v>946.5</v>
      </c>
      <c r="I47" s="17" cm="1">
        <f t="array" ref="I47">SUM(I40:I46)</f>
        <v>605</v>
      </c>
      <c r="J47" s="17" cm="1">
        <f t="array" ref="J47">SUM(J40:J46)</f>
        <v>635</v>
      </c>
      <c r="K47" s="17" cm="1">
        <f t="array" ref="K47">SUM(K40:K43)</f>
        <v>220</v>
      </c>
      <c r="L47" s="40" cm="1">
        <f t="array" ref="L47">SUM(L40:L43)</f>
        <v>190</v>
      </c>
      <c r="M47" s="40" cm="1">
        <f t="array" ref="M47">SUM(M40:M43)</f>
        <v>0</v>
      </c>
      <c r="N47" s="36"/>
    </row>
    <row r="48" ht="15" customHeight="1">
      <c r="A48" s="37"/>
      <c r="B48" s="37"/>
      <c r="C48" s="41"/>
      <c r="D48" s="41"/>
      <c r="E48" s="41"/>
      <c r="F48" s="41"/>
      <c r="G48" s="37"/>
      <c r="H48" s="37"/>
      <c r="I48" s="37"/>
      <c r="J48" s="37"/>
      <c r="K48" s="37"/>
      <c r="L48" s="37"/>
      <c r="M48" s="37"/>
      <c r="N48" s="11"/>
    </row>
    <row r="49" ht="15" customHeight="1">
      <c r="A49" t="s" s="32">
        <v>28</v>
      </c>
      <c r="B49" t="s" s="14">
        <v>9</v>
      </c>
      <c r="C49" t="s" s="14">
        <v>10</v>
      </c>
      <c r="D49" t="s" s="14">
        <v>11</v>
      </c>
      <c r="E49" t="s" s="14">
        <v>12</v>
      </c>
      <c r="F49" t="s" s="14">
        <v>13</v>
      </c>
      <c r="G49" t="s" s="14">
        <v>14</v>
      </c>
      <c r="H49" t="s" s="14">
        <v>15</v>
      </c>
      <c r="I49" t="s" s="14">
        <v>16</v>
      </c>
      <c r="J49" t="s" s="14">
        <v>17</v>
      </c>
      <c r="K49" t="s" s="14">
        <v>18</v>
      </c>
      <c r="L49" t="s" s="14">
        <v>19</v>
      </c>
      <c r="M49" t="s" s="14">
        <v>20</v>
      </c>
      <c r="N49" s="36"/>
    </row>
    <row r="50" ht="15" customHeight="1">
      <c r="A50" t="s" s="42">
        <v>45</v>
      </c>
      <c r="B50" s="69" cm="1">
        <f t="array" ref="B50">B47/B26</f>
        <v>0.343124165554072</v>
      </c>
      <c r="C50" s="69" cm="1">
        <f t="array" ref="C50">C47/C26</f>
        <v>0.496740016299919</v>
      </c>
      <c r="D50" s="69" cm="1">
        <f t="array" ref="D50">D47/D26</f>
        <v>0.425942156003506</v>
      </c>
      <c r="E50" s="69" cm="1">
        <f t="array" ref="E50">E47/E26</f>
        <v>0.644144144144144</v>
      </c>
      <c r="F50" s="69" cm="1">
        <f t="array" ref="F50">F47/F26</f>
        <v>0.582423038728898</v>
      </c>
      <c r="G50" s="69" cm="1">
        <f t="array" ref="G50">G47/G26</f>
        <v>0.548169556840077</v>
      </c>
      <c r="H50" s="69" cm="1">
        <f t="array" ref="H50">H47/H26</f>
        <v>0.818771626297578</v>
      </c>
      <c r="I50" s="69" cm="1">
        <f t="array" ref="I50">I47/I26</f>
        <v>0.51665243381725</v>
      </c>
      <c r="J50" s="69" cm="1">
        <f t="array" ref="J50">J47/J26</f>
        <v>0.539965986394558</v>
      </c>
      <c r="K50" s="30" cm="1">
        <f t="array" ref="K50">K47/K26</f>
      </c>
      <c r="L50" s="30" cm="1">
        <f t="array" ref="L50">L47/L26</f>
      </c>
      <c r="M50" s="30" cm="1">
        <f t="array" ref="M50">M47/M26</f>
      </c>
      <c r="N50" s="11"/>
    </row>
    <row r="51" ht="15" customHeight="1">
      <c r="A51" s="11"/>
      <c r="B51" s="11"/>
      <c r="C51" s="12"/>
      <c r="D51" s="12"/>
      <c r="E51" s="12"/>
      <c r="F51" s="12"/>
      <c r="G51" s="11"/>
      <c r="H51" s="11"/>
      <c r="I51" s="11"/>
      <c r="J51" s="11"/>
      <c r="K51" s="11"/>
      <c r="L51" s="11"/>
      <c r="M51" s="11"/>
      <c r="N51" s="11"/>
    </row>
    <row r="52" ht="15" customHeight="1">
      <c r="A52" s="13"/>
      <c r="B52" s="13"/>
      <c r="C52" s="44"/>
      <c r="D52" s="44"/>
      <c r="E52" s="44"/>
      <c r="F52" s="44"/>
      <c r="G52" s="13"/>
      <c r="H52" s="13"/>
      <c r="I52" s="13"/>
      <c r="J52" s="13"/>
      <c r="K52" s="13"/>
      <c r="L52" s="13"/>
      <c r="M52" s="13"/>
      <c r="N52" s="11"/>
    </row>
    <row r="53" ht="15" customHeight="1">
      <c r="A53" t="s" s="32">
        <v>46</v>
      </c>
      <c r="B53" t="s" s="14">
        <v>9</v>
      </c>
      <c r="C53" t="s" s="14">
        <v>10</v>
      </c>
      <c r="D53" t="s" s="14">
        <v>11</v>
      </c>
      <c r="E53" t="s" s="14">
        <v>12</v>
      </c>
      <c r="F53" t="s" s="14">
        <v>13</v>
      </c>
      <c r="G53" t="s" s="14">
        <v>14</v>
      </c>
      <c r="H53" t="s" s="14">
        <v>15</v>
      </c>
      <c r="I53" t="s" s="14">
        <v>16</v>
      </c>
      <c r="J53" t="s" s="14">
        <v>17</v>
      </c>
      <c r="K53" t="s" s="14">
        <v>18</v>
      </c>
      <c r="L53" t="s" s="14">
        <v>19</v>
      </c>
      <c r="M53" t="s" s="14">
        <v>20</v>
      </c>
      <c r="N53" s="36"/>
    </row>
    <row r="54" ht="15" customHeight="1">
      <c r="A54" t="s" s="42">
        <v>47</v>
      </c>
      <c r="B54" s="45">
        <v>38</v>
      </c>
      <c r="C54" s="45">
        <v>40</v>
      </c>
      <c r="D54" s="30"/>
      <c r="E54" s="30"/>
      <c r="F54" s="30"/>
      <c r="G54" s="30"/>
      <c r="H54" s="30"/>
      <c r="I54" s="30"/>
      <c r="J54" s="30"/>
      <c r="K54" s="30"/>
      <c r="L54" s="30"/>
      <c r="M54" s="30"/>
      <c r="N54" s="11"/>
    </row>
    <row r="55" ht="15" customHeight="1">
      <c r="A55" t="s" s="54">
        <v>48</v>
      </c>
      <c r="B55" s="55">
        <v>32</v>
      </c>
      <c r="C55" s="55">
        <v>32</v>
      </c>
      <c r="D55" s="55">
        <v>32</v>
      </c>
      <c r="E55" s="55">
        <v>32</v>
      </c>
      <c r="F55" s="55">
        <v>32</v>
      </c>
      <c r="G55" s="55">
        <v>32</v>
      </c>
      <c r="H55" s="55">
        <v>32</v>
      </c>
      <c r="I55" s="55">
        <v>32</v>
      </c>
      <c r="J55" s="55">
        <v>32</v>
      </c>
      <c r="K55" s="11"/>
      <c r="L55" s="11"/>
      <c r="M55" s="11"/>
      <c r="N55" s="11"/>
    </row>
    <row r="56" ht="15" customHeight="1">
      <c r="A56" t="s" s="54">
        <v>49</v>
      </c>
      <c r="B56" s="55">
        <v>24</v>
      </c>
      <c r="C56" s="55">
        <v>24</v>
      </c>
      <c r="D56" s="55">
        <v>24</v>
      </c>
      <c r="E56" s="55">
        <v>24</v>
      </c>
      <c r="F56" s="55">
        <v>24</v>
      </c>
      <c r="G56" s="55">
        <v>24</v>
      </c>
      <c r="H56" s="55">
        <v>24</v>
      </c>
      <c r="I56" s="55">
        <v>24</v>
      </c>
      <c r="J56" s="55">
        <v>24</v>
      </c>
      <c r="K56" s="11"/>
      <c r="L56" s="11"/>
      <c r="M56" s="11"/>
      <c r="N56" s="11"/>
    </row>
    <row r="57" ht="15" customHeight="1">
      <c r="A57" t="s" s="54">
        <v>50</v>
      </c>
      <c r="B57" s="55">
        <v>22</v>
      </c>
      <c r="C57" s="55">
        <v>22</v>
      </c>
      <c r="D57" s="55">
        <v>22</v>
      </c>
      <c r="E57" s="55">
        <v>22</v>
      </c>
      <c r="F57" s="55">
        <v>22</v>
      </c>
      <c r="G57" s="55">
        <v>22</v>
      </c>
      <c r="H57" s="55">
        <v>22</v>
      </c>
      <c r="I57" s="55">
        <v>22</v>
      </c>
      <c r="J57" s="55">
        <v>22</v>
      </c>
      <c r="K57" s="11"/>
      <c r="L57" s="11"/>
      <c r="M57" s="11"/>
      <c r="N57" s="11"/>
    </row>
    <row r="58" ht="15" customHeight="1">
      <c r="A58" t="s" s="54">
        <v>33</v>
      </c>
      <c r="B58" s="55">
        <v>68</v>
      </c>
      <c r="C58" s="55">
        <v>68</v>
      </c>
      <c r="D58" s="55">
        <v>68</v>
      </c>
      <c r="E58" s="55">
        <v>68</v>
      </c>
      <c r="F58" s="55">
        <v>68</v>
      </c>
      <c r="G58" s="55">
        <v>68</v>
      </c>
      <c r="H58" s="55">
        <v>68</v>
      </c>
      <c r="I58" s="55">
        <v>68</v>
      </c>
      <c r="J58" s="55">
        <v>68</v>
      </c>
      <c r="K58" s="11"/>
      <c r="L58" s="11"/>
      <c r="M58" s="11"/>
      <c r="N58" s="11"/>
    </row>
    <row r="59" ht="15" customHeight="1">
      <c r="A59" t="s" s="54">
        <v>54</v>
      </c>
      <c r="B59" s="11"/>
      <c r="C59" s="11"/>
      <c r="D59" s="11"/>
      <c r="E59" s="11"/>
      <c r="F59" s="11"/>
      <c r="G59" s="11"/>
      <c r="H59" s="11"/>
      <c r="I59" s="11"/>
      <c r="J59" s="55">
        <v>26</v>
      </c>
      <c r="K59" s="11"/>
      <c r="L59" s="11"/>
      <c r="M59" s="11"/>
      <c r="N59" s="11"/>
    </row>
    <row r="60" ht="15" customHeight="1">
      <c r="A60" t="s" s="54">
        <v>89</v>
      </c>
      <c r="B60" s="11"/>
      <c r="C60" s="11"/>
      <c r="D60" s="11"/>
      <c r="E60" s="11"/>
      <c r="F60" s="11"/>
      <c r="G60" s="11"/>
      <c r="H60" s="11"/>
      <c r="I60" s="11"/>
      <c r="J60" s="11"/>
      <c r="K60" s="11"/>
      <c r="L60" s="11"/>
      <c r="M60" s="11"/>
      <c r="N60" s="11"/>
    </row>
    <row r="61" ht="15" customHeight="1">
      <c r="A61" t="s" s="54">
        <v>51</v>
      </c>
      <c r="B61" s="11"/>
      <c r="C61" s="11"/>
      <c r="D61" s="11"/>
      <c r="E61" s="11"/>
      <c r="F61" s="11"/>
      <c r="G61" s="11"/>
      <c r="H61" s="11"/>
      <c r="I61" s="11"/>
      <c r="J61" s="55">
        <v>40</v>
      </c>
      <c r="K61" s="11"/>
      <c r="L61" s="11"/>
      <c r="M61" s="11"/>
      <c r="N61" s="11"/>
    </row>
    <row r="62" ht="15" customHeight="1">
      <c r="A62" t="s" s="54">
        <v>41</v>
      </c>
      <c r="B62" s="11"/>
      <c r="C62" s="11"/>
      <c r="D62" s="11"/>
      <c r="E62" s="11"/>
      <c r="F62" s="11"/>
      <c r="G62" s="11"/>
      <c r="H62" s="11"/>
      <c r="I62" s="11"/>
      <c r="J62" s="55">
        <v>5</v>
      </c>
      <c r="K62" s="11"/>
      <c r="L62" s="11"/>
      <c r="M62" s="11"/>
      <c r="N62" s="11"/>
    </row>
    <row r="63" ht="15" customHeight="1">
      <c r="A63" t="s" s="54">
        <v>40</v>
      </c>
      <c r="B63" s="11"/>
      <c r="C63" s="11"/>
      <c r="D63" s="11"/>
      <c r="E63" s="11"/>
      <c r="F63" s="11"/>
      <c r="G63" s="11"/>
      <c r="H63" s="11"/>
      <c r="I63" s="11"/>
      <c r="J63" s="55">
        <v>17</v>
      </c>
      <c r="K63" s="11"/>
      <c r="L63" s="11"/>
      <c r="M63" s="11"/>
      <c r="N63" s="11"/>
    </row>
    <row r="64" ht="15" customHeight="1">
      <c r="A64" t="s" s="54">
        <v>52</v>
      </c>
      <c r="B64" s="55">
        <v>50</v>
      </c>
      <c r="C64" s="55">
        <v>50</v>
      </c>
      <c r="D64" s="55">
        <v>59</v>
      </c>
      <c r="E64" s="55">
        <v>60</v>
      </c>
      <c r="F64" s="55">
        <v>60</v>
      </c>
      <c r="G64" s="55">
        <v>60</v>
      </c>
      <c r="H64" s="55">
        <v>64</v>
      </c>
      <c r="I64" s="11"/>
      <c r="J64" s="55">
        <v>64</v>
      </c>
      <c r="K64" s="11"/>
      <c r="L64" s="11"/>
      <c r="M64" s="11"/>
      <c r="N64" s="11"/>
    </row>
    <row r="65" ht="15" customHeight="1">
      <c r="A65" t="s" s="54">
        <v>53</v>
      </c>
      <c r="B65" s="11"/>
      <c r="C65" s="11"/>
      <c r="D65" s="11"/>
      <c r="E65" s="11"/>
      <c r="F65" s="11"/>
      <c r="G65" s="11"/>
      <c r="H65" s="11"/>
      <c r="I65" s="11"/>
      <c r="J65" s="55">
        <v>8</v>
      </c>
      <c r="K65" s="11"/>
      <c r="L65" s="11"/>
      <c r="M65" s="11"/>
      <c r="N65" s="11"/>
    </row>
    <row r="66" ht="15" customHeight="1">
      <c r="A66" t="s" s="54">
        <v>90</v>
      </c>
      <c r="B66" s="11"/>
      <c r="C66" s="11"/>
      <c r="D66" s="11"/>
      <c r="E66" s="11"/>
      <c r="F66" s="11"/>
      <c r="G66" s="11"/>
      <c r="H66" s="11"/>
      <c r="I66" s="11"/>
      <c r="J66" s="55">
        <v>0</v>
      </c>
      <c r="K66" s="11"/>
      <c r="L66" s="11"/>
      <c r="M66" s="11"/>
      <c r="N66" s="11"/>
    </row>
    <row r="67" ht="15" customHeight="1">
      <c r="A67" t="s" s="54">
        <v>88</v>
      </c>
      <c r="B67" s="55">
        <v>0</v>
      </c>
      <c r="C67" s="55">
        <v>0</v>
      </c>
      <c r="D67" s="11"/>
      <c r="E67" s="11"/>
      <c r="F67" s="11"/>
      <c r="G67" s="11"/>
      <c r="H67" s="11"/>
      <c r="I67" s="11"/>
      <c r="J67" s="55">
        <v>10</v>
      </c>
      <c r="K67" s="11"/>
      <c r="L67" s="11"/>
      <c r="M67" s="11"/>
      <c r="N67" s="11"/>
    </row>
    <row r="68" ht="15" customHeight="1">
      <c r="A68" t="s" s="54">
        <v>91</v>
      </c>
      <c r="B68" s="11"/>
      <c r="C68" s="11"/>
      <c r="D68" s="11"/>
      <c r="E68" s="11"/>
      <c r="F68" s="11"/>
      <c r="G68" s="11"/>
      <c r="H68" s="11"/>
      <c r="I68" s="11"/>
      <c r="J68" s="55">
        <v>46</v>
      </c>
      <c r="K68" s="11"/>
      <c r="L68" s="11"/>
      <c r="M68" s="11"/>
      <c r="N68" s="11"/>
    </row>
    <row r="69" ht="15" customHeight="1">
      <c r="A69" t="s" s="54">
        <v>22</v>
      </c>
      <c r="B69" s="55" cm="1">
        <f t="array" ref="B69">SUM(B54:B68)</f>
        <v>234</v>
      </c>
      <c r="C69" s="55" cm="1">
        <f t="array" ref="C69">SUM(C54:C68)</f>
        <v>236</v>
      </c>
      <c r="D69" s="55" cm="1">
        <f t="array" ref="D69">SUM(D54:D68)</f>
        <v>205</v>
      </c>
      <c r="E69" s="55" cm="1">
        <f t="array" ref="E69">SUM(E54:E68)</f>
        <v>206</v>
      </c>
      <c r="F69" s="55" cm="1">
        <f t="array" ref="F69">SUM(F54:F68)</f>
        <v>206</v>
      </c>
      <c r="G69" s="55" cm="1">
        <f t="array" ref="G69">SUM(G54:G68)</f>
        <v>206</v>
      </c>
      <c r="H69" s="55" cm="1">
        <f t="array" ref="H69">SUM(H54:H68)</f>
        <v>210</v>
      </c>
      <c r="I69" s="55" cm="1">
        <f t="array" ref="I69">SUM(I54:I68)</f>
        <v>146</v>
      </c>
      <c r="J69" s="55" cm="1">
        <f t="array" ref="J69">SUM(J54:J68)</f>
        <v>362</v>
      </c>
      <c r="K69" s="55" cm="1">
        <f t="array" ref="K69">SUM(K54:K68)</f>
        <v>0</v>
      </c>
      <c r="L69" s="55" cm="1">
        <f t="array" ref="L69">SUM(L54:L68)</f>
        <v>0</v>
      </c>
      <c r="M69" s="55" cm="1">
        <f t="array" ref="M69">SUM(M54:M68)</f>
        <v>0</v>
      </c>
      <c r="N69" s="11"/>
    </row>
    <row r="70" ht="15" customHeight="1">
      <c r="A70" s="13"/>
      <c r="B70" s="13"/>
      <c r="C70" s="13"/>
      <c r="D70" s="13"/>
      <c r="E70" s="13"/>
      <c r="F70" s="13"/>
      <c r="G70" s="13"/>
      <c r="H70" s="13"/>
      <c r="I70" s="13"/>
      <c r="J70" s="13"/>
      <c r="K70" s="13"/>
      <c r="L70" s="13"/>
      <c r="M70" s="13"/>
      <c r="N70" s="11"/>
    </row>
    <row r="71" ht="15" customHeight="1">
      <c r="A71" t="s" s="32">
        <v>28</v>
      </c>
      <c r="B71" t="s" s="14">
        <v>9</v>
      </c>
      <c r="C71" t="s" s="14">
        <v>10</v>
      </c>
      <c r="D71" t="s" s="14">
        <v>11</v>
      </c>
      <c r="E71" t="s" s="14">
        <v>12</v>
      </c>
      <c r="F71" t="s" s="14">
        <v>13</v>
      </c>
      <c r="G71" t="s" s="14">
        <v>14</v>
      </c>
      <c r="H71" t="s" s="14">
        <v>15</v>
      </c>
      <c r="I71" t="s" s="14">
        <v>16</v>
      </c>
      <c r="J71" t="s" s="14">
        <v>17</v>
      </c>
      <c r="K71" t="s" s="14">
        <v>18</v>
      </c>
      <c r="L71" t="s" s="14">
        <v>19</v>
      </c>
      <c r="M71" t="s" s="14">
        <v>20</v>
      </c>
      <c r="N71" s="36"/>
    </row>
    <row r="72" ht="15" customHeight="1">
      <c r="A72" t="s" s="42">
        <v>56</v>
      </c>
      <c r="B72" s="23" cm="1">
        <f t="array" ref="B72">B10</f>
        <v>141125066</v>
      </c>
      <c r="C72" s="23" cm="1">
        <f t="array" ref="C72">C10</f>
        <v>138796256</v>
      </c>
      <c r="D72" s="23" cm="1">
        <f t="array" ref="D72">D10</f>
        <v>157762290</v>
      </c>
      <c r="E72" s="23" cm="1">
        <f t="array" ref="E72">E10</f>
        <v>144558419</v>
      </c>
      <c r="F72" s="23" cm="1">
        <f t="array" ref="F72">F10</f>
        <v>155513013</v>
      </c>
      <c r="G72" s="23" cm="1">
        <f t="array" ref="G72">G10</f>
        <v>144555593</v>
      </c>
      <c r="H72" s="23" cm="1">
        <f t="array" ref="H72">H10</f>
        <v>198601041</v>
      </c>
      <c r="I72" s="23" cm="1">
        <f t="array" ref="I72">I10</f>
        <v>129812628</v>
      </c>
      <c r="J72" s="23" cm="1">
        <f t="array" ref="J72">J10</f>
        <v>144322655</v>
      </c>
      <c r="K72" s="23" cm="1">
        <f t="array" ref="K72">K10</f>
        <v>175871573</v>
      </c>
      <c r="L72" s="23" cm="1">
        <f t="array" ref="L72">L10</f>
        <v>153088902</v>
      </c>
      <c r="M72" s="23" cm="1">
        <f t="array" ref="M72">M10</f>
        <v>206375959</v>
      </c>
      <c r="N72" s="11"/>
    </row>
    <row r="73" ht="15" customHeight="1">
      <c r="A73" s="11"/>
      <c r="B73" s="11"/>
      <c r="C73" s="11"/>
      <c r="D73" s="11"/>
      <c r="E73" s="11"/>
      <c r="F73" s="11"/>
      <c r="G73" s="11"/>
      <c r="H73" s="11"/>
      <c r="I73" s="11"/>
      <c r="J73" s="11"/>
      <c r="K73" s="11"/>
      <c r="L73" s="11"/>
      <c r="M73" s="11"/>
      <c r="N73" s="11"/>
    </row>
    <row r="74" ht="15" customHeight="1">
      <c r="A74" t="s" s="54">
        <v>92</v>
      </c>
      <c r="B74" s="11"/>
      <c r="C74" s="11"/>
      <c r="D74" s="11"/>
      <c r="E74" s="11"/>
      <c r="F74" s="11"/>
      <c r="G74" s="11"/>
      <c r="H74" s="11"/>
      <c r="I74" s="11"/>
      <c r="J74" s="70" cm="1">
        <f t="array" ref="J74">J69/1136</f>
        <v>0.318661971830986</v>
      </c>
      <c r="K74" s="11"/>
      <c r="L74" s="11"/>
      <c r="M74" s="11"/>
      <c r="N74" s="11"/>
    </row>
    <row r="75" ht="15" customHeight="1">
      <c r="A75" s="11"/>
      <c r="B75" s="11"/>
      <c r="C75" s="11"/>
      <c r="D75" s="11"/>
      <c r="E75" s="11"/>
      <c r="F75" s="11"/>
      <c r="G75" s="11"/>
      <c r="H75" s="11"/>
      <c r="I75" s="11"/>
      <c r="J75" s="11"/>
      <c r="K75" s="11"/>
      <c r="L75" s="11"/>
      <c r="M75" s="11"/>
      <c r="N75" s="11"/>
    </row>
    <row r="76" ht="15" customHeight="1">
      <c r="A76" s="11"/>
      <c r="B76" s="11"/>
      <c r="C76" s="11"/>
      <c r="D76" s="11"/>
      <c r="E76" s="11"/>
      <c r="F76" s="11"/>
      <c r="G76" s="11"/>
      <c r="H76" s="11"/>
      <c r="I76" s="11"/>
      <c r="J76" s="11"/>
      <c r="K76" s="11"/>
      <c r="L76" s="11"/>
      <c r="M76" s="11"/>
      <c r="N76" s="11"/>
    </row>
    <row r="77" ht="15" customHeight="1">
      <c r="A77" s="11"/>
      <c r="B77" s="11"/>
      <c r="C77" s="11"/>
      <c r="D77" s="11"/>
      <c r="E77" s="11"/>
      <c r="F77" s="11"/>
      <c r="G77" s="11"/>
      <c r="H77" s="11"/>
      <c r="I77" s="11"/>
      <c r="J77" s="11"/>
      <c r="K77" s="11"/>
      <c r="L77" s="11"/>
      <c r="M77" s="11"/>
      <c r="N77" s="11"/>
    </row>
    <row r="78" ht="15" customHeight="1">
      <c r="A78" s="11"/>
      <c r="B78" s="11"/>
      <c r="C78" s="11"/>
      <c r="D78" s="11"/>
      <c r="E78" s="11"/>
      <c r="F78" s="11"/>
      <c r="G78" s="11"/>
      <c r="H78" s="11"/>
      <c r="I78" s="11"/>
      <c r="J78" s="11"/>
      <c r="K78" s="11"/>
      <c r="L78" s="11"/>
      <c r="M78" s="11"/>
      <c r="N78" s="11"/>
    </row>
    <row r="79" ht="15" customHeight="1">
      <c r="A79" s="11"/>
      <c r="B79" s="11"/>
      <c r="C79" s="11"/>
      <c r="D79" s="11"/>
      <c r="E79" s="11"/>
      <c r="F79" s="11"/>
      <c r="G79" s="11"/>
      <c r="H79" s="11"/>
      <c r="I79" s="11"/>
      <c r="J79" s="11"/>
      <c r="K79" s="11"/>
      <c r="L79" s="11"/>
      <c r="M79" s="11"/>
      <c r="N79" s="11"/>
    </row>
    <row r="80" ht="15" customHeight="1">
      <c r="A80" s="11"/>
      <c r="B80" s="11"/>
      <c r="C80" s="11"/>
      <c r="D80" s="11"/>
      <c r="E80" s="11"/>
      <c r="F80" s="11"/>
      <c r="G80" s="11"/>
      <c r="H80" s="11"/>
      <c r="I80" s="11"/>
      <c r="J80" s="11"/>
      <c r="K80" s="11"/>
      <c r="L80" s="11"/>
      <c r="M80" s="11"/>
      <c r="N80" s="11"/>
    </row>
    <row r="81" ht="15" customHeight="1">
      <c r="A81" s="11"/>
      <c r="B81" s="11"/>
      <c r="C81" s="11"/>
      <c r="D81" s="11"/>
      <c r="E81" s="11"/>
      <c r="F81" s="11"/>
      <c r="G81" s="11"/>
      <c r="H81" s="11"/>
      <c r="I81" s="11"/>
      <c r="J81" s="11"/>
      <c r="K81" s="11"/>
      <c r="L81" s="11"/>
      <c r="M81" s="11"/>
      <c r="N81" s="11"/>
    </row>
    <row r="82" ht="15" customHeight="1">
      <c r="A82" s="11"/>
      <c r="B82" s="11"/>
      <c r="C82" s="11"/>
      <c r="D82" s="11"/>
      <c r="E82" s="11"/>
      <c r="F82" s="11"/>
      <c r="G82" s="11"/>
      <c r="H82" s="11"/>
      <c r="I82" s="11"/>
      <c r="J82" s="11"/>
      <c r="K82" s="11"/>
      <c r="L82" s="11"/>
      <c r="M82" s="11"/>
      <c r="N82" s="11"/>
    </row>
    <row r="83" ht="15" customHeight="1">
      <c r="A83" s="11"/>
      <c r="B83" s="11"/>
      <c r="C83" s="11"/>
      <c r="D83" s="11"/>
      <c r="E83" s="11"/>
      <c r="F83" s="11"/>
      <c r="G83" s="11"/>
      <c r="H83" s="11"/>
      <c r="I83" s="11"/>
      <c r="J83" s="11"/>
      <c r="K83" s="11"/>
      <c r="L83" s="11"/>
      <c r="M83" s="11"/>
      <c r="N83" s="11"/>
    </row>
    <row r="84" ht="15" customHeight="1">
      <c r="A84" s="11"/>
      <c r="B84" s="11"/>
      <c r="C84" s="11"/>
      <c r="D84" s="11"/>
      <c r="E84" s="11"/>
      <c r="F84" s="11"/>
      <c r="G84" s="11"/>
      <c r="H84" s="11"/>
      <c r="I84" s="11"/>
      <c r="J84" s="11"/>
      <c r="K84" s="11"/>
      <c r="L84" s="11"/>
      <c r="M84" s="11"/>
      <c r="N84" s="11"/>
    </row>
    <row r="85" ht="15" customHeight="1">
      <c r="A85" s="11"/>
      <c r="B85" s="11"/>
      <c r="C85" s="11"/>
      <c r="D85" s="11"/>
      <c r="E85" s="11"/>
      <c r="F85" s="11"/>
      <c r="G85" s="11"/>
      <c r="H85" s="11"/>
      <c r="I85" s="11"/>
      <c r="J85" s="11"/>
      <c r="K85" s="11"/>
      <c r="L85" s="11"/>
      <c r="M85" s="11"/>
      <c r="N85" s="11"/>
    </row>
    <row r="86" ht="15" customHeight="1">
      <c r="A86" s="11"/>
      <c r="B86" s="11"/>
      <c r="C86" s="11"/>
      <c r="D86" s="11"/>
      <c r="E86" s="11"/>
      <c r="F86" s="11"/>
      <c r="G86" s="11"/>
      <c r="H86" s="11"/>
      <c r="I86" s="11"/>
      <c r="J86" s="11"/>
      <c r="K86" s="11"/>
      <c r="L86" s="11"/>
      <c r="M86" s="11"/>
      <c r="N86" s="11"/>
    </row>
    <row r="87" ht="15" customHeight="1">
      <c r="A87" s="11"/>
      <c r="B87" s="11"/>
      <c r="C87" s="11"/>
      <c r="D87" s="11"/>
      <c r="E87" s="11"/>
      <c r="F87" s="11"/>
      <c r="G87" s="11"/>
      <c r="H87" s="11"/>
      <c r="I87" s="11"/>
      <c r="J87" s="11"/>
      <c r="K87" s="11"/>
      <c r="L87" s="11"/>
      <c r="M87" s="11"/>
      <c r="N87" s="11"/>
    </row>
    <row r="88" ht="15" customHeight="1">
      <c r="A88" s="11"/>
      <c r="B88" s="11"/>
      <c r="C88" s="11"/>
      <c r="D88" s="11"/>
      <c r="E88" s="11"/>
      <c r="F88" s="11"/>
      <c r="G88" s="11"/>
      <c r="H88" s="11"/>
      <c r="I88" s="11"/>
      <c r="J88" s="11"/>
      <c r="K88" s="11"/>
      <c r="L88" s="11"/>
      <c r="M88" s="11"/>
      <c r="N88" s="11"/>
    </row>
    <row r="89" ht="15" customHeight="1">
      <c r="A89" s="11"/>
      <c r="B89" s="11"/>
      <c r="C89" s="11"/>
      <c r="D89" s="11"/>
      <c r="E89" s="11"/>
      <c r="F89" s="11"/>
      <c r="G89" s="11"/>
      <c r="H89" s="11"/>
      <c r="I89" s="11"/>
      <c r="J89" s="11"/>
      <c r="K89" s="11"/>
      <c r="L89" s="11"/>
      <c r="M89" s="11"/>
      <c r="N89" s="11"/>
    </row>
    <row r="90" ht="15" customHeight="1">
      <c r="A90" s="11"/>
      <c r="B90" s="11"/>
      <c r="C90" s="11"/>
      <c r="D90" s="11"/>
      <c r="E90" s="11"/>
      <c r="F90" s="11"/>
      <c r="G90" s="11"/>
      <c r="H90" s="11"/>
      <c r="I90" s="11"/>
      <c r="J90" s="11"/>
      <c r="K90" s="11"/>
      <c r="L90" s="11"/>
      <c r="M90" s="11"/>
      <c r="N90" s="11"/>
    </row>
    <row r="91" ht="15" customHeight="1">
      <c r="A91" s="11"/>
      <c r="B91" s="11"/>
      <c r="C91" s="11"/>
      <c r="D91" s="11"/>
      <c r="E91" s="11"/>
      <c r="F91" s="11"/>
      <c r="G91" s="11"/>
      <c r="H91" s="11"/>
      <c r="I91" s="11"/>
      <c r="J91" s="11"/>
      <c r="K91" s="11"/>
      <c r="L91" s="11"/>
      <c r="M91" s="11"/>
      <c r="N91" s="11"/>
    </row>
    <row r="92" ht="15" customHeight="1">
      <c r="A92" s="11"/>
      <c r="B92" s="11"/>
      <c r="C92" s="11"/>
      <c r="D92" s="11"/>
      <c r="E92" s="11"/>
      <c r="F92" s="11"/>
      <c r="G92" s="11"/>
      <c r="H92" s="11"/>
      <c r="I92" s="11"/>
      <c r="J92" s="11"/>
      <c r="K92" s="11"/>
      <c r="L92" s="11"/>
      <c r="M92" s="11"/>
      <c r="N92" s="11"/>
    </row>
    <row r="93" ht="15" customHeight="1">
      <c r="A93" s="11"/>
      <c r="B93" s="11"/>
      <c r="C93" s="11"/>
      <c r="D93" s="11"/>
      <c r="E93" s="11"/>
      <c r="F93" s="11"/>
      <c r="G93" s="11"/>
      <c r="H93" s="11"/>
      <c r="I93" s="11"/>
      <c r="J93" s="11"/>
      <c r="K93" s="11"/>
      <c r="L93" s="11"/>
      <c r="M93" s="11"/>
      <c r="N93" s="11"/>
    </row>
    <row r="94" ht="15" customHeight="1">
      <c r="A94" s="11"/>
      <c r="B94" s="11"/>
      <c r="C94" s="11"/>
      <c r="D94" s="11"/>
      <c r="E94" s="11"/>
      <c r="F94" s="11"/>
      <c r="G94" s="11"/>
      <c r="H94" s="11"/>
      <c r="I94" s="11"/>
      <c r="J94" s="11"/>
      <c r="K94" s="11"/>
      <c r="L94" s="11"/>
      <c r="M94" s="11"/>
      <c r="N94" s="11"/>
    </row>
    <row r="95" ht="15" customHeight="1">
      <c r="A95" s="11"/>
      <c r="B95" s="11"/>
      <c r="C95" s="11"/>
      <c r="D95" s="11"/>
      <c r="E95" s="11"/>
      <c r="F95" s="11"/>
      <c r="G95" s="11"/>
      <c r="H95" s="11"/>
      <c r="I95" s="11"/>
      <c r="J95" s="11"/>
      <c r="K95" s="11"/>
      <c r="L95" s="11"/>
      <c r="M95" s="11"/>
      <c r="N95" s="11"/>
    </row>
    <row r="96" ht="15" customHeight="1">
      <c r="A96" s="11"/>
      <c r="B96" s="11"/>
      <c r="C96" s="11"/>
      <c r="D96" s="11"/>
      <c r="E96" s="11"/>
      <c r="F96" s="11"/>
      <c r="G96" s="11"/>
      <c r="H96" s="11"/>
      <c r="I96" s="11"/>
      <c r="J96" s="11"/>
      <c r="K96" s="11"/>
      <c r="L96" s="11"/>
      <c r="M96" s="11"/>
      <c r="N96" s="11"/>
    </row>
    <row r="97" ht="15" customHeight="1">
      <c r="A97" s="11"/>
      <c r="B97" s="11"/>
      <c r="C97" s="11"/>
      <c r="D97" s="11"/>
      <c r="E97" s="11"/>
      <c r="F97" s="11"/>
      <c r="G97" s="11"/>
      <c r="H97" s="11"/>
      <c r="I97" s="11"/>
      <c r="J97" s="11"/>
      <c r="K97" s="11"/>
      <c r="L97" s="11"/>
      <c r="M97" s="11"/>
      <c r="N97" s="11"/>
    </row>
    <row r="98" ht="15" customHeight="1">
      <c r="A98" s="11"/>
      <c r="B98" s="11"/>
      <c r="C98" s="11"/>
      <c r="D98" s="11"/>
      <c r="E98" s="11"/>
      <c r="F98" s="11"/>
      <c r="G98" s="11"/>
      <c r="H98" s="11"/>
      <c r="I98" s="11"/>
      <c r="J98" s="11"/>
      <c r="K98" s="11"/>
      <c r="L98" s="11"/>
      <c r="M98" s="11"/>
      <c r="N98" s="11"/>
    </row>
    <row r="99" ht="15" customHeight="1">
      <c r="A99" s="11"/>
      <c r="B99" s="11"/>
      <c r="C99" s="11"/>
      <c r="D99" s="11"/>
      <c r="E99" s="11"/>
      <c r="F99" s="11"/>
      <c r="G99" s="11"/>
      <c r="H99" s="11"/>
      <c r="I99" s="11"/>
      <c r="J99" s="11"/>
      <c r="K99" s="11"/>
      <c r="L99" s="11"/>
      <c r="M99" s="11"/>
      <c r="N99" s="11"/>
    </row>
    <row r="100" ht="15" customHeight="1">
      <c r="A100" s="11"/>
      <c r="B100" s="11"/>
      <c r="C100" s="11"/>
      <c r="D100" s="11"/>
      <c r="E100" s="11"/>
      <c r="F100" s="11"/>
      <c r="G100" s="11"/>
      <c r="H100" s="11"/>
      <c r="I100" s="11"/>
      <c r="J100" s="11"/>
      <c r="K100" s="11"/>
      <c r="L100" s="11"/>
      <c r="M100" s="11"/>
      <c r="N100" s="11"/>
    </row>
    <row r="101" ht="15" customHeight="1">
      <c r="A101" s="11"/>
      <c r="B101" s="11"/>
      <c r="C101" s="11"/>
      <c r="D101" s="11"/>
      <c r="E101" s="11"/>
      <c r="F101" s="11"/>
      <c r="G101" s="11"/>
      <c r="H101" s="11"/>
      <c r="I101" s="11"/>
      <c r="J101" s="11"/>
      <c r="K101" s="11"/>
      <c r="L101" s="11"/>
      <c r="M101" s="11"/>
      <c r="N101" s="11"/>
    </row>
    <row r="102" ht="15" customHeight="1">
      <c r="A102" s="11"/>
      <c r="B102" s="11"/>
      <c r="C102" s="11"/>
      <c r="D102" s="11"/>
      <c r="E102" s="11"/>
      <c r="F102" s="11"/>
      <c r="G102" s="11"/>
      <c r="H102" s="11"/>
      <c r="I102" s="11"/>
      <c r="J102" s="11"/>
      <c r="K102" s="11"/>
      <c r="L102" s="11"/>
      <c r="M102" s="11"/>
      <c r="N102" s="11"/>
    </row>
    <row r="103" ht="15" customHeight="1">
      <c r="A103" s="11"/>
      <c r="B103" s="11"/>
      <c r="C103" s="11"/>
      <c r="D103" s="11"/>
      <c r="E103" s="11"/>
      <c r="F103" s="11"/>
      <c r="G103" s="11"/>
      <c r="H103" s="11"/>
      <c r="I103" s="11"/>
      <c r="J103" s="11"/>
      <c r="K103" s="11"/>
      <c r="L103" s="11"/>
      <c r="M103" s="11"/>
      <c r="N103" s="11"/>
    </row>
    <row r="104" ht="15" customHeight="1">
      <c r="A104" s="11"/>
      <c r="B104" s="11"/>
      <c r="C104" s="11"/>
      <c r="D104" s="11"/>
      <c r="E104" s="11"/>
      <c r="F104" s="11"/>
      <c r="G104" s="11"/>
      <c r="H104" s="11"/>
      <c r="I104" s="11"/>
      <c r="J104" s="11"/>
      <c r="K104" s="11"/>
      <c r="L104" s="11"/>
      <c r="M104" s="11"/>
      <c r="N104" s="11"/>
    </row>
    <row r="105" ht="15" customHeight="1">
      <c r="A105" s="11"/>
      <c r="B105" s="11"/>
      <c r="C105" s="11"/>
      <c r="D105" s="11"/>
      <c r="E105" s="11"/>
      <c r="F105" s="11"/>
      <c r="G105" s="11"/>
      <c r="H105" s="11"/>
      <c r="I105" s="11"/>
      <c r="J105" s="11"/>
      <c r="K105" s="11"/>
      <c r="L105" s="11"/>
      <c r="M105" s="11"/>
      <c r="N105" s="11"/>
    </row>
    <row r="106" ht="15" customHeight="1">
      <c r="A106" s="11"/>
      <c r="B106" s="11"/>
      <c r="C106" s="11"/>
      <c r="D106" s="11"/>
      <c r="E106" s="11"/>
      <c r="F106" s="11"/>
      <c r="G106" s="11"/>
      <c r="H106" s="11"/>
      <c r="I106" s="11"/>
      <c r="J106" s="11"/>
      <c r="K106" s="11"/>
      <c r="L106" s="11"/>
      <c r="M106" s="11"/>
      <c r="N106" s="11"/>
    </row>
    <row r="107" ht="15" customHeight="1">
      <c r="A107" s="11"/>
      <c r="B107" s="11"/>
      <c r="C107" s="11"/>
      <c r="D107" s="11"/>
      <c r="E107" s="11"/>
      <c r="F107" s="11"/>
      <c r="G107" s="11"/>
      <c r="H107" s="11"/>
      <c r="I107" s="11"/>
      <c r="J107" s="11"/>
      <c r="K107" s="11"/>
      <c r="L107" s="11"/>
      <c r="M107" s="11"/>
      <c r="N107" s="11"/>
    </row>
    <row r="108" ht="15" customHeight="1">
      <c r="A108" s="11"/>
      <c r="B108" s="11"/>
      <c r="C108" s="11"/>
      <c r="D108" s="11"/>
      <c r="E108" s="11"/>
      <c r="F108" s="11"/>
      <c r="G108" s="11"/>
      <c r="H108" s="11"/>
      <c r="I108" s="11"/>
      <c r="J108" s="11"/>
      <c r="K108" s="11"/>
      <c r="L108" s="11"/>
      <c r="M108" s="11"/>
      <c r="N108" s="11"/>
    </row>
    <row r="109" ht="15" customHeight="1">
      <c r="A109" s="11"/>
      <c r="B109" s="11"/>
      <c r="C109" s="11"/>
      <c r="D109" s="11"/>
      <c r="E109" s="11"/>
      <c r="F109" s="11"/>
      <c r="G109" s="11"/>
      <c r="H109" s="11"/>
      <c r="I109" s="11"/>
      <c r="J109" s="11"/>
      <c r="K109" s="11"/>
      <c r="L109" s="11"/>
      <c r="M109" s="11"/>
      <c r="N109" s="11"/>
    </row>
    <row r="110" ht="15" customHeight="1">
      <c r="A110" s="11"/>
      <c r="B110" s="11"/>
      <c r="C110" s="11"/>
      <c r="D110" s="11"/>
      <c r="E110" s="11"/>
      <c r="F110" s="11"/>
      <c r="G110" s="11"/>
      <c r="H110" s="11"/>
      <c r="I110" s="11"/>
      <c r="J110" s="11"/>
      <c r="K110" s="11"/>
      <c r="L110" s="11"/>
      <c r="M110" s="11"/>
      <c r="N110" s="11"/>
    </row>
    <row r="111" ht="15" customHeight="1">
      <c r="A111" s="11"/>
      <c r="B111" s="11"/>
      <c r="C111" s="11"/>
      <c r="D111" s="11"/>
      <c r="E111" s="11"/>
      <c r="F111" s="11"/>
      <c r="G111" s="11"/>
      <c r="H111" s="11"/>
      <c r="I111" s="11"/>
      <c r="J111" s="11"/>
      <c r="K111" s="11"/>
      <c r="L111" s="11"/>
      <c r="M111" s="11"/>
      <c r="N111" s="11"/>
    </row>
    <row r="112" ht="15" customHeight="1">
      <c r="A112" s="11"/>
      <c r="B112" s="11"/>
      <c r="C112" s="11"/>
      <c r="D112" s="11"/>
      <c r="E112" s="11"/>
      <c r="F112" s="11"/>
      <c r="G112" s="11"/>
      <c r="H112" s="11"/>
      <c r="I112" s="11"/>
      <c r="J112" s="11"/>
      <c r="K112" s="11"/>
      <c r="L112" s="11"/>
      <c r="M112" s="11"/>
      <c r="N112" s="11"/>
    </row>
    <row r="113" ht="15" customHeight="1">
      <c r="A113" s="11"/>
      <c r="B113" s="11"/>
      <c r="C113" s="11"/>
      <c r="D113" s="11"/>
      <c r="E113" s="11"/>
      <c r="F113" s="11"/>
      <c r="G113" s="11"/>
      <c r="H113" s="11"/>
      <c r="I113" s="11"/>
      <c r="J113" s="11"/>
      <c r="K113" s="11"/>
      <c r="L113" s="11"/>
      <c r="M113" s="11"/>
      <c r="N113" s="11"/>
    </row>
    <row r="114" ht="15" customHeight="1">
      <c r="A114" s="11"/>
      <c r="B114" s="11"/>
      <c r="C114" s="11"/>
      <c r="D114" s="11"/>
      <c r="E114" s="11"/>
      <c r="F114" s="11"/>
      <c r="G114" s="11"/>
      <c r="H114" s="11"/>
      <c r="I114" s="11"/>
      <c r="J114" s="11"/>
      <c r="K114" s="11"/>
      <c r="L114" s="11"/>
      <c r="M114" s="11"/>
      <c r="N114" s="11"/>
    </row>
    <row r="115" ht="15" customHeight="1">
      <c r="A115" s="11"/>
      <c r="B115" s="11"/>
      <c r="C115" s="11"/>
      <c r="D115" s="11"/>
      <c r="E115" s="11"/>
      <c r="F115" s="11"/>
      <c r="G115" s="11"/>
      <c r="H115" s="11"/>
      <c r="I115" s="11"/>
      <c r="J115" s="11"/>
      <c r="K115" s="11"/>
      <c r="L115" s="11"/>
      <c r="M115" s="11"/>
      <c r="N115" s="11"/>
    </row>
    <row r="116" ht="15" customHeight="1">
      <c r="A116" s="11"/>
      <c r="B116" s="11"/>
      <c r="C116" s="11"/>
      <c r="D116" s="11"/>
      <c r="E116" s="11"/>
      <c r="F116" s="11"/>
      <c r="G116" s="11"/>
      <c r="H116" s="11"/>
      <c r="I116" s="11"/>
      <c r="J116" s="11"/>
      <c r="K116" s="11"/>
      <c r="L116" s="11"/>
      <c r="M116" s="11"/>
      <c r="N116" s="11"/>
    </row>
    <row r="117" ht="15" customHeight="1">
      <c r="A117" s="11"/>
      <c r="B117" s="11"/>
      <c r="C117" s="11"/>
      <c r="D117" s="11"/>
      <c r="E117" s="11"/>
      <c r="F117" s="11"/>
      <c r="G117" s="11"/>
      <c r="H117" s="11"/>
      <c r="I117" s="11"/>
      <c r="J117" s="11"/>
      <c r="K117" s="11"/>
      <c r="L117" s="11"/>
      <c r="M117" s="11"/>
      <c r="N117" s="11"/>
    </row>
    <row r="118" ht="15" customHeight="1">
      <c r="A118" s="11"/>
      <c r="B118" s="11"/>
      <c r="C118" s="11"/>
      <c r="D118" s="11"/>
      <c r="E118" s="11"/>
      <c r="F118" s="11"/>
      <c r="G118" s="11"/>
      <c r="H118" s="11"/>
      <c r="I118" s="11"/>
      <c r="J118" s="11"/>
      <c r="K118" s="11"/>
      <c r="L118" s="11"/>
      <c r="M118" s="11"/>
      <c r="N118" s="11"/>
    </row>
    <row r="119" ht="15" customHeight="1">
      <c r="A119" s="11"/>
      <c r="B119" s="11"/>
      <c r="C119" s="11"/>
      <c r="D119" s="11"/>
      <c r="E119" s="11"/>
      <c r="F119" s="11"/>
      <c r="G119" s="11"/>
      <c r="H119" s="11"/>
      <c r="I119" s="11"/>
      <c r="J119" s="11"/>
      <c r="K119" s="11"/>
      <c r="L119" s="11"/>
      <c r="M119" s="11"/>
      <c r="N119" s="11"/>
    </row>
    <row r="120" ht="15" customHeight="1">
      <c r="A120" s="11"/>
      <c r="B120" s="11"/>
      <c r="C120" s="11"/>
      <c r="D120" s="11"/>
      <c r="E120" s="11"/>
      <c r="F120" s="11"/>
      <c r="G120" s="11"/>
      <c r="H120" s="11"/>
      <c r="I120" s="11"/>
      <c r="J120" s="11"/>
      <c r="K120" s="11"/>
      <c r="L120" s="11"/>
      <c r="M120" s="11"/>
      <c r="N120" s="11"/>
    </row>
    <row r="121" ht="15" customHeight="1">
      <c r="A121" s="11"/>
      <c r="B121" s="11"/>
      <c r="C121" s="11"/>
      <c r="D121" s="11"/>
      <c r="E121" s="11"/>
      <c r="F121" s="11"/>
      <c r="G121" s="11"/>
      <c r="H121" s="11"/>
      <c r="I121" s="11"/>
      <c r="J121" s="11"/>
      <c r="K121" s="11"/>
      <c r="L121" s="11"/>
      <c r="M121" s="11"/>
      <c r="N121" s="11"/>
    </row>
    <row r="122" ht="15" customHeight="1">
      <c r="A122" s="11"/>
      <c r="B122" s="11"/>
      <c r="C122" s="11"/>
      <c r="D122" s="11"/>
      <c r="E122" s="11"/>
      <c r="F122" s="11"/>
      <c r="G122" s="11"/>
      <c r="H122" s="11"/>
      <c r="I122" s="11"/>
      <c r="J122" s="11"/>
      <c r="K122" s="11"/>
      <c r="L122" s="11"/>
      <c r="M122" s="11"/>
      <c r="N122" s="11"/>
    </row>
    <row r="123" ht="15" customHeight="1">
      <c r="A123" s="11"/>
      <c r="B123" s="11"/>
      <c r="C123" s="11"/>
      <c r="D123" s="11"/>
      <c r="E123" s="11"/>
      <c r="F123" s="11"/>
      <c r="G123" s="11"/>
      <c r="H123" s="11"/>
      <c r="I123" s="11"/>
      <c r="J123" s="11"/>
      <c r="K123" s="11"/>
      <c r="L123" s="11"/>
      <c r="M123" s="11"/>
      <c r="N123" s="11"/>
    </row>
    <row r="124" ht="15" customHeight="1">
      <c r="A124" s="11"/>
      <c r="B124" s="11"/>
      <c r="C124" s="11"/>
      <c r="D124" s="11"/>
      <c r="E124" s="11"/>
      <c r="F124" s="11"/>
      <c r="G124" s="11"/>
      <c r="H124" s="11"/>
      <c r="I124" s="11"/>
      <c r="J124" s="11"/>
      <c r="K124" s="11"/>
      <c r="L124" s="11"/>
      <c r="M124" s="11"/>
      <c r="N124" s="11"/>
    </row>
    <row r="125" ht="15" customHeight="1">
      <c r="A125" s="11"/>
      <c r="B125" s="11"/>
      <c r="C125" s="11"/>
      <c r="D125" s="11"/>
      <c r="E125" s="11"/>
      <c r="F125" s="11"/>
      <c r="G125" s="11"/>
      <c r="H125" s="11"/>
      <c r="I125" s="11"/>
      <c r="J125" s="11"/>
      <c r="K125" s="11"/>
      <c r="L125" s="11"/>
      <c r="M125" s="11"/>
      <c r="N125" s="11"/>
    </row>
    <row r="126" ht="15" customHeight="1">
      <c r="A126" s="11"/>
      <c r="B126" s="11"/>
      <c r="C126" s="11"/>
      <c r="D126" s="11"/>
      <c r="E126" s="11"/>
      <c r="F126" s="11"/>
      <c r="G126" s="11"/>
      <c r="H126" s="11"/>
      <c r="I126" s="11"/>
      <c r="J126" s="11"/>
      <c r="K126" s="11"/>
      <c r="L126" s="11"/>
      <c r="M126" s="11"/>
      <c r="N126" s="11"/>
    </row>
    <row r="127" ht="15" customHeight="1">
      <c r="A127" s="11"/>
      <c r="B127" s="11"/>
      <c r="C127" s="11"/>
      <c r="D127" s="11"/>
      <c r="E127" s="11"/>
      <c r="F127" s="11"/>
      <c r="G127" s="11"/>
      <c r="H127" s="11"/>
      <c r="I127" s="11"/>
      <c r="J127" s="11"/>
      <c r="K127" s="11"/>
      <c r="L127" s="11"/>
      <c r="M127" s="11"/>
      <c r="N127" s="11"/>
    </row>
  </sheetData>
  <mergeCells count="4">
    <mergeCell ref="A1:M1"/>
    <mergeCell ref="A2:M2"/>
    <mergeCell ref="A21:M21"/>
    <mergeCell ref="A22:M22"/>
  </mergeCells>
  <pageMargins left="0.75" right="0.75" top="1" bottom="1" header="0.5" footer="0.5"/>
  <pageSetup firstPageNumber="1" fitToHeight="1" fitToWidth="1" scale="100" useFirstPageNumber="0" orientation="portrait" pageOrder="downThenOver"/>
  <headerFooter>
    <oddFooter>&amp;C&amp;"Helvetica,Regular"&amp;12&amp;K000000&amp;P</oddFooter>
  </headerFooter>
  <drawing r:id="rId1"/>
</worksheet>
</file>

<file path=xl/worksheets/sheet4.xml><?xml version="1.0" encoding="utf-8"?>
<worksheet xmlns:r="http://schemas.openxmlformats.org/officeDocument/2006/relationships" xmlns="http://schemas.openxmlformats.org/spreadsheetml/2006/main">
  <dimension ref="A1:N148"/>
  <sheetViews>
    <sheetView workbookViewId="0" showGridLines="0" defaultGridColor="1"/>
  </sheetViews>
  <sheetFormatPr defaultColWidth="12.5" defaultRowHeight="15" customHeight="1" outlineLevelRow="0" outlineLevelCol="0"/>
  <cols>
    <col min="1" max="1" width="27.1719" style="71" customWidth="1"/>
    <col min="2" max="2" width="15.1719" style="71" customWidth="1"/>
    <col min="3" max="3" width="14.6719" style="71" customWidth="1"/>
    <col min="4" max="4" width="17.3516" style="71" customWidth="1"/>
    <col min="5" max="5" width="15" style="71" customWidth="1"/>
    <col min="6" max="7" width="14.6719" style="71" customWidth="1"/>
    <col min="8" max="12" width="16.5" style="71" customWidth="1"/>
    <col min="13" max="13" width="19" style="71" customWidth="1"/>
    <col min="14" max="14" width="15.9375" style="71" customWidth="1"/>
    <col min="15" max="16384" width="12.5" style="71" customWidth="1"/>
  </cols>
  <sheetData>
    <row r="1" ht="23" customHeight="1">
      <c r="A1" t="s" s="7">
        <v>6</v>
      </c>
      <c r="B1" s="8"/>
      <c r="C1" s="8"/>
      <c r="D1" s="9"/>
      <c r="E1" s="9"/>
      <c r="F1" s="9"/>
      <c r="G1" s="9"/>
      <c r="H1" s="9"/>
      <c r="I1" s="9"/>
      <c r="J1" s="9"/>
      <c r="K1" s="9"/>
      <c r="L1" s="9"/>
      <c r="M1" s="9"/>
      <c r="N1" s="10"/>
    </row>
    <row r="2" ht="23" customHeight="1">
      <c r="A2" t="s" s="7">
        <v>94</v>
      </c>
      <c r="B2" s="8"/>
      <c r="C2" s="8"/>
      <c r="D2" s="12"/>
      <c r="E2" s="12"/>
      <c r="F2" s="12"/>
      <c r="G2" s="12"/>
      <c r="H2" s="12"/>
      <c r="I2" s="12"/>
      <c r="J2" s="12"/>
      <c r="K2" s="12"/>
      <c r="L2" s="12"/>
      <c r="M2" s="12"/>
      <c r="N2" s="10"/>
    </row>
    <row r="3" ht="15" customHeight="1">
      <c r="A3" s="13"/>
      <c r="B3" s="13"/>
      <c r="C3" s="13"/>
      <c r="D3" s="13"/>
      <c r="E3" s="13"/>
      <c r="F3" s="13"/>
      <c r="G3" s="13"/>
      <c r="H3" s="13"/>
      <c r="I3" s="13"/>
      <c r="J3" s="13"/>
      <c r="K3" s="13"/>
      <c r="L3" s="13"/>
      <c r="M3" s="13"/>
      <c r="N3" s="72"/>
    </row>
    <row r="4" ht="15" customHeight="1">
      <c r="A4" t="s" s="14">
        <v>8</v>
      </c>
      <c r="B4" t="s" s="14">
        <v>9</v>
      </c>
      <c r="C4" t="s" s="14">
        <v>10</v>
      </c>
      <c r="D4" t="s" s="14">
        <v>11</v>
      </c>
      <c r="E4" t="s" s="14">
        <v>12</v>
      </c>
      <c r="F4" t="s" s="14">
        <v>13</v>
      </c>
      <c r="G4" t="s" s="14">
        <v>14</v>
      </c>
      <c r="H4" t="s" s="14">
        <v>15</v>
      </c>
      <c r="I4" t="s" s="14">
        <v>16</v>
      </c>
      <c r="J4" t="s" s="14">
        <v>17</v>
      </c>
      <c r="K4" t="s" s="14">
        <v>18</v>
      </c>
      <c r="L4" t="s" s="14">
        <v>19</v>
      </c>
      <c r="M4" t="s" s="14">
        <v>20</v>
      </c>
      <c r="N4" t="s" s="73">
        <v>95</v>
      </c>
    </row>
    <row r="5" ht="15" customHeight="1">
      <c r="A5" s="17">
        <v>1</v>
      </c>
      <c r="B5" s="18">
        <v>32806000</v>
      </c>
      <c r="C5" s="18">
        <v>52631806</v>
      </c>
      <c r="D5" s="18">
        <v>46259150</v>
      </c>
      <c r="E5" s="18">
        <v>45926600</v>
      </c>
      <c r="F5" s="18">
        <v>39557367</v>
      </c>
      <c r="G5" s="18">
        <v>63655050</v>
      </c>
      <c r="H5" s="74">
        <v>40971800</v>
      </c>
      <c r="I5" s="18">
        <v>42724800</v>
      </c>
      <c r="J5" s="18">
        <v>36979860</v>
      </c>
      <c r="K5" s="18">
        <v>38712040</v>
      </c>
      <c r="L5" s="18">
        <v>51793350</v>
      </c>
      <c r="M5" s="18">
        <v>47540085</v>
      </c>
      <c r="N5" s="75"/>
    </row>
    <row r="6" ht="15" customHeight="1">
      <c r="A6" s="17">
        <v>2</v>
      </c>
      <c r="B6" s="18">
        <v>29299606</v>
      </c>
      <c r="C6" s="18">
        <v>42862950</v>
      </c>
      <c r="D6" s="18">
        <v>72764588</v>
      </c>
      <c r="E6" s="18">
        <v>87228800</v>
      </c>
      <c r="F6" s="18">
        <v>33768500</v>
      </c>
      <c r="G6" s="18">
        <v>44288414</v>
      </c>
      <c r="H6" s="74">
        <v>48156706</v>
      </c>
      <c r="I6" s="18">
        <v>39639200</v>
      </c>
      <c r="J6" s="18">
        <v>60775167</v>
      </c>
      <c r="K6" s="18">
        <v>55021650</v>
      </c>
      <c r="L6" s="18">
        <v>38468606</v>
      </c>
      <c r="M6" s="18">
        <v>43240261</v>
      </c>
      <c r="N6" s="19"/>
    </row>
    <row r="7" ht="15" customHeight="1">
      <c r="A7" s="17">
        <v>3</v>
      </c>
      <c r="B7" s="18">
        <v>38148550</v>
      </c>
      <c r="C7" s="18">
        <v>27917050</v>
      </c>
      <c r="D7" s="18">
        <v>38057706</v>
      </c>
      <c r="E7" s="18">
        <v>27347806</v>
      </c>
      <c r="F7" s="18">
        <v>35727406</v>
      </c>
      <c r="G7" s="18">
        <v>27309650</v>
      </c>
      <c r="H7" s="74">
        <v>41980950</v>
      </c>
      <c r="I7" s="18">
        <v>31587912</v>
      </c>
      <c r="J7" s="18">
        <v>35105600</v>
      </c>
      <c r="K7" s="18">
        <v>27513728</v>
      </c>
      <c r="L7" s="18">
        <v>38150679</v>
      </c>
      <c r="M7" s="18">
        <v>52842163</v>
      </c>
      <c r="N7" s="19"/>
    </row>
    <row r="8" ht="15" customHeight="1">
      <c r="A8" s="17">
        <v>4</v>
      </c>
      <c r="B8" s="18">
        <v>30010300</v>
      </c>
      <c r="C8" s="18">
        <v>32647150</v>
      </c>
      <c r="D8" s="18">
        <v>26472100</v>
      </c>
      <c r="E8" s="18">
        <v>33904200</v>
      </c>
      <c r="F8" s="18">
        <v>32206400</v>
      </c>
      <c r="G8" s="18">
        <v>53341900</v>
      </c>
      <c r="H8" s="74">
        <v>48873650</v>
      </c>
      <c r="I8" s="18">
        <v>27714850</v>
      </c>
      <c r="J8" s="18">
        <v>26880793</v>
      </c>
      <c r="K8" s="18">
        <v>35270600</v>
      </c>
      <c r="L8" s="18">
        <v>30851100</v>
      </c>
      <c r="M8" s="18">
        <v>61120050</v>
      </c>
      <c r="N8" s="19"/>
    </row>
    <row r="9" ht="15" customHeight="1">
      <c r="A9" s="17">
        <v>5</v>
      </c>
      <c r="B9" s="18">
        <v>35743700</v>
      </c>
      <c r="C9" s="18"/>
      <c r="D9" s="18">
        <v>6665800</v>
      </c>
      <c r="E9" s="18"/>
      <c r="F9" s="18">
        <v>37066150</v>
      </c>
      <c r="G9" s="18">
        <v>10605000</v>
      </c>
      <c r="H9" s="74">
        <v>73211912</v>
      </c>
      <c r="I9" s="18">
        <v>3784500</v>
      </c>
      <c r="J9" s="18"/>
      <c r="K9" s="18">
        <v>36038281</v>
      </c>
      <c r="L9" s="18"/>
      <c r="M9" s="18">
        <v>25518200</v>
      </c>
      <c r="N9" s="19"/>
    </row>
    <row r="10" ht="15" customHeight="1">
      <c r="A10" t="s" s="20">
        <v>22</v>
      </c>
      <c r="B10" s="18" cm="1">
        <f t="array" ref="B10">SUM(B5:B9)</f>
        <v>166008156</v>
      </c>
      <c r="C10" s="18" cm="1">
        <f t="array" ref="C10">SUM(C5:C9)</f>
        <v>156058956</v>
      </c>
      <c r="D10" s="18" cm="1">
        <f t="array" ref="D10">SUM(D5:D9)</f>
        <v>190219344</v>
      </c>
      <c r="E10" s="18" cm="1">
        <f t="array" ref="E10">SUM(E5:E9)</f>
        <v>194407406</v>
      </c>
      <c r="F10" s="18" cm="1">
        <f t="array" ref="F10">SUM(F5:F9)</f>
        <v>178325823</v>
      </c>
      <c r="G10" s="18" cm="1">
        <f t="array" ref="G10">SUM(G5:G9)</f>
        <v>199200014</v>
      </c>
      <c r="H10" s="74" cm="1">
        <f t="array" ref="H10">SUM(H5:H9)</f>
        <v>253195018</v>
      </c>
      <c r="I10" s="18" cm="1">
        <f t="array" ref="I10">SUM(I5:I9)</f>
        <v>145451262</v>
      </c>
      <c r="J10" s="18" cm="1">
        <f t="array" ref="J10">SUM(J5:J9)</f>
        <v>159741420</v>
      </c>
      <c r="K10" s="18" cm="1">
        <f t="array" ref="K10">SUM(K5:K9)</f>
        <v>192556299</v>
      </c>
      <c r="L10" s="18" cm="1">
        <f t="array" ref="L10">SUM(L5:L9)</f>
        <v>159263735</v>
      </c>
      <c r="M10" s="18" cm="1">
        <f t="array" ref="M10">SUM(M5:M9)</f>
        <v>230260759</v>
      </c>
      <c r="N10" s="61"/>
    </row>
    <row r="11" ht="15" customHeight="1">
      <c r="A11" t="s" s="20">
        <v>23</v>
      </c>
      <c r="B11" s="18" cm="1">
        <f t="array" ref="B11">AVERAGE(B5:B9)</f>
        <v>33201631.2</v>
      </c>
      <c r="C11" s="18" cm="1">
        <f t="array" ref="C11">AVERAGE(C5:C9)</f>
        <v>39014739</v>
      </c>
      <c r="D11" s="18" cm="1">
        <f t="array" ref="D11">AVERAGE(D5:D9)</f>
        <v>38043868.8</v>
      </c>
      <c r="E11" s="18" cm="1">
        <f t="array" ref="E11">AVERAGE(E5:E9)</f>
        <v>48601851.5</v>
      </c>
      <c r="F11" s="18" cm="1">
        <f t="array" ref="F11">AVERAGE(F5:F9)</f>
        <v>35665164.6</v>
      </c>
      <c r="G11" s="18" cm="1">
        <f t="array" ref="G11">AVERAGE(G5:G9)</f>
        <v>39840002.8</v>
      </c>
      <c r="H11" s="74" cm="1">
        <f t="array" ref="H11">AVERAGE(H5:H9)</f>
        <v>50639003.6</v>
      </c>
      <c r="I11" s="18" cm="1">
        <f t="array" ref="I11">AVERAGE(I5:I9)</f>
        <v>29090252.4</v>
      </c>
      <c r="J11" s="18" cm="1">
        <f t="array" ref="J11">AVERAGE(J5:J9)</f>
        <v>39935355</v>
      </c>
      <c r="K11" s="18" cm="1">
        <f t="array" ref="K11">AVERAGE(K5:K9)</f>
        <v>38511259.8</v>
      </c>
      <c r="L11" s="18" cm="1">
        <f t="array" ref="L11">AVERAGE(L5:L9)</f>
        <v>39815933.75</v>
      </c>
      <c r="M11" s="18" cm="1">
        <f t="array" ref="M11">AVERAGE(M5:M9)</f>
        <v>46052151.8</v>
      </c>
      <c r="N11" s="21"/>
    </row>
    <row r="12" ht="15" customHeight="1">
      <c r="A12" t="s" s="22">
        <v>24</v>
      </c>
      <c r="B12" s="23"/>
      <c r="C12" s="24" cm="1">
        <f t="array" ref="C12">C10/B10-1</f>
        <v>-0.0599319951484793</v>
      </c>
      <c r="D12" s="24" cm="1">
        <f t="array" ref="D12">D10/C10-1</f>
        <v>0.218894121014112</v>
      </c>
      <c r="E12" s="24" cm="1">
        <f t="array" ref="E12">E10/D10-1</f>
        <v>0.0220170142107103</v>
      </c>
      <c r="F12" s="24" cm="1">
        <f t="array" ref="F12">F10/E10-1</f>
        <v>-0.0827210409875023</v>
      </c>
      <c r="G12" s="24" cm="1">
        <f t="array" ref="G12">G10/F10-1</f>
        <v>0.11705646803604</v>
      </c>
      <c r="H12" s="24" cm="1">
        <f t="array" ref="H12">H10/G10-1</f>
        <v>0.271059237977764</v>
      </c>
      <c r="I12" s="24" cm="1">
        <f t="array" ref="I12">I10/H10-1</f>
        <v>-0.425536635163967</v>
      </c>
      <c r="J12" s="24" cm="1">
        <f t="array" ref="J12">J10/I10-1</f>
        <v>0.0982470540544365</v>
      </c>
      <c r="K12" s="24" cm="1">
        <f t="array" ref="K12">K10/J10-1</f>
        <v>0.205424986205832</v>
      </c>
      <c r="L12" s="24" cm="1">
        <f t="array" ref="L12">L10/K10-1</f>
        <v>-0.172897818315463</v>
      </c>
      <c r="M12" s="24" cm="1">
        <f t="array" ref="M12">M10/L10-1</f>
        <v>0.445782738926724</v>
      </c>
      <c r="N12" s="10"/>
    </row>
    <row r="13" ht="15" customHeight="1">
      <c r="A13" t="s" s="25">
        <v>96</v>
      </c>
      <c r="B13" s="26" cm="1">
        <f t="array" ref="B13">B10</f>
        <v>166008156</v>
      </c>
      <c r="C13" s="26" cm="1">
        <f t="array" ref="C13">C10+B13</f>
        <v>322067112</v>
      </c>
      <c r="D13" s="26" cm="1">
        <f t="array" ref="D13">D10+C13</f>
        <v>512286456</v>
      </c>
      <c r="E13" s="26" cm="1">
        <f t="array" ref="E13">E10+D13</f>
        <v>706693862</v>
      </c>
      <c r="F13" s="26" cm="1">
        <f t="array" ref="F13">F10+E13</f>
        <v>885019685</v>
      </c>
      <c r="G13" s="26" cm="1">
        <f t="array" ref="G13">G10+F13</f>
        <v>1084219699</v>
      </c>
      <c r="H13" s="26" cm="1">
        <f t="array" ref="H13">H10+G13</f>
        <v>1337414717</v>
      </c>
      <c r="I13" s="26" cm="1">
        <f t="array" ref="I13">I10+H13</f>
        <v>1482865979</v>
      </c>
      <c r="J13" s="26" cm="1">
        <f t="array" ref="J13">J10+I13</f>
        <v>1642607399</v>
      </c>
      <c r="K13" s="26" cm="1">
        <f t="array" ref="K13">K10+J13</f>
        <v>1835163698</v>
      </c>
      <c r="L13" s="26" cm="1">
        <f t="array" ref="L13">L10+K13</f>
        <v>1994427433</v>
      </c>
      <c r="M13" s="26" cm="1">
        <f t="array" ref="M13">M10+L13</f>
        <v>2224688192</v>
      </c>
      <c r="N13" s="76" cm="1">
        <f t="array" ref="N13">158000000*1.12*12</f>
        <v>2123520000</v>
      </c>
    </row>
    <row r="14" ht="15" customHeight="1">
      <c r="A14" t="s" s="25">
        <v>97</v>
      </c>
      <c r="B14" s="26">
        <v>141125066</v>
      </c>
      <c r="C14" s="26">
        <v>279921322</v>
      </c>
      <c r="D14" s="26">
        <v>437683612</v>
      </c>
      <c r="E14" s="26">
        <v>582242031</v>
      </c>
      <c r="F14" s="26">
        <v>737755044</v>
      </c>
      <c r="G14" s="26">
        <v>882310637</v>
      </c>
      <c r="H14" s="26">
        <v>1080911678</v>
      </c>
      <c r="I14" s="26">
        <v>1210724306</v>
      </c>
      <c r="J14" s="26">
        <v>1355046961</v>
      </c>
      <c r="K14" s="26">
        <v>1530918534</v>
      </c>
      <c r="L14" s="26">
        <v>1684007436</v>
      </c>
      <c r="M14" s="26">
        <v>1816342574</v>
      </c>
      <c r="N14" s="11"/>
    </row>
    <row r="15" ht="15" customHeight="1">
      <c r="A15" t="s" s="25">
        <v>98</v>
      </c>
      <c r="B15" s="28" cm="1">
        <f t="array" ref="B15">B13/B14-1</f>
        <v>0.176319421526435</v>
      </c>
      <c r="C15" s="28" cm="1">
        <f t="array" ref="C15">C13/C14-1</f>
        <v>0.150562985694959</v>
      </c>
      <c r="D15" s="28" cm="1">
        <f t="array" ref="D15">D13/D14-1</f>
        <v>0.170449251364705</v>
      </c>
      <c r="E15" s="28" cm="1">
        <f t="array" ref="E15">E13/E14-1</f>
        <v>0.213745872633506</v>
      </c>
      <c r="F15" s="28" cm="1">
        <f t="array" ref="F15">F13/F14-1</f>
        <v>0.199611838912754</v>
      </c>
      <c r="G15" s="28" cm="1">
        <f t="array" ref="G15">G13/G14-1</f>
        <v>0.22884124199899</v>
      </c>
      <c r="H15" s="28" cm="1">
        <f t="array" ref="H15">H13/H14-1</f>
        <v>0.237302495865902</v>
      </c>
      <c r="I15" s="28" cm="1">
        <f t="array" ref="I15">I13/I14-1</f>
        <v>0.224775922686399</v>
      </c>
      <c r="J15" s="28" cm="1">
        <f t="array" ref="J15">J13/J14-1</f>
        <v>0.212214370628001</v>
      </c>
      <c r="K15" s="28" cm="1">
        <f t="array" ref="K15">K13/K14-1</f>
        <v>0.198733738760785</v>
      </c>
      <c r="L15" s="28" cm="1">
        <f t="array" ref="L15">L13/L14-1</f>
        <v>0.184334101123292</v>
      </c>
      <c r="M15" s="28" cm="1">
        <f t="array" ref="M15">M13/M14-1</f>
        <v>0.224817511765267</v>
      </c>
      <c r="N15" s="77"/>
    </row>
    <row r="16" ht="15" customHeight="1">
      <c r="A16" s="11"/>
      <c r="B16" s="28"/>
      <c r="C16" s="28"/>
      <c r="D16" s="28"/>
      <c r="E16" s="28"/>
      <c r="F16" s="28"/>
      <c r="G16" s="28"/>
      <c r="H16" s="28"/>
      <c r="I16" s="28"/>
      <c r="J16" s="28"/>
      <c r="K16" s="28"/>
      <c r="L16" s="28"/>
      <c r="M16" s="28"/>
      <c r="N16" s="10"/>
    </row>
    <row r="17" ht="15" customHeight="1">
      <c r="A17" s="64"/>
      <c r="B17" s="28"/>
      <c r="C17" s="28"/>
      <c r="D17" s="28"/>
      <c r="E17" s="28"/>
      <c r="F17" s="28"/>
      <c r="G17" s="28"/>
      <c r="H17" s="28"/>
      <c r="I17" s="28"/>
      <c r="J17" s="28"/>
      <c r="K17" s="28"/>
      <c r="L17" s="28"/>
      <c r="M17" s="28"/>
      <c r="N17" s="10"/>
    </row>
    <row r="18" ht="15" customHeight="1">
      <c r="A18" s="13"/>
      <c r="B18" s="29"/>
      <c r="C18" s="29"/>
      <c r="D18" s="29"/>
      <c r="E18" s="29"/>
      <c r="F18" s="13"/>
      <c r="G18" s="13"/>
      <c r="H18" s="13"/>
      <c r="I18" s="13"/>
      <c r="J18" s="13"/>
      <c r="K18" s="13"/>
      <c r="L18" s="13"/>
      <c r="M18" s="13"/>
      <c r="N18" s="10"/>
    </row>
    <row r="19" ht="15" customHeight="1">
      <c r="A19" s="30"/>
      <c r="B19" s="23"/>
      <c r="C19" s="23"/>
      <c r="D19" s="23"/>
      <c r="E19" s="23"/>
      <c r="F19" s="23"/>
      <c r="G19" s="23"/>
      <c r="H19" s="23"/>
      <c r="I19" s="23"/>
      <c r="J19" s="23"/>
      <c r="K19" s="23"/>
      <c r="L19" s="23"/>
      <c r="M19" s="23"/>
      <c r="N19" s="27"/>
    </row>
    <row r="20" ht="15" customHeight="1">
      <c r="A20" s="11"/>
      <c r="B20" s="26"/>
      <c r="C20" s="26"/>
      <c r="D20" s="26"/>
      <c r="E20" s="26"/>
      <c r="F20" s="26"/>
      <c r="G20" s="26"/>
      <c r="H20" s="26"/>
      <c r="I20" s="26"/>
      <c r="J20" s="26"/>
      <c r="K20" s="26"/>
      <c r="L20" s="26"/>
      <c r="M20" s="26"/>
      <c r="N20" s="27"/>
    </row>
    <row r="21" ht="23" customHeight="1">
      <c r="A21" t="s" s="7">
        <v>6</v>
      </c>
      <c r="B21" s="8"/>
      <c r="C21" s="8"/>
      <c r="D21" s="9"/>
      <c r="E21" s="9"/>
      <c r="F21" s="9"/>
      <c r="G21" s="9"/>
      <c r="H21" s="9"/>
      <c r="I21" s="9"/>
      <c r="J21" s="9"/>
      <c r="K21" s="9"/>
      <c r="L21" s="9"/>
      <c r="M21" s="9"/>
      <c r="N21" s="27"/>
    </row>
    <row r="22" ht="23" customHeight="1">
      <c r="A22" t="s" s="7">
        <v>99</v>
      </c>
      <c r="B22" s="8"/>
      <c r="C22" s="8"/>
      <c r="D22" s="12"/>
      <c r="E22" s="12"/>
      <c r="F22" s="12"/>
      <c r="G22" s="12"/>
      <c r="H22" s="12"/>
      <c r="I22" s="12"/>
      <c r="J22" s="12"/>
      <c r="K22" s="12"/>
      <c r="L22" s="12"/>
      <c r="M22" s="12"/>
      <c r="N22" s="27"/>
    </row>
    <row r="23" ht="23" customHeight="1">
      <c r="A23" s="8"/>
      <c r="B23" s="8"/>
      <c r="C23" s="8"/>
      <c r="D23" s="9"/>
      <c r="E23" s="9"/>
      <c r="F23" s="9"/>
      <c r="G23" s="9"/>
      <c r="H23" s="9"/>
      <c r="I23" s="9"/>
      <c r="J23" s="9"/>
      <c r="K23" s="9"/>
      <c r="L23" s="9"/>
      <c r="M23" s="9"/>
      <c r="N23" s="27"/>
    </row>
    <row r="24" ht="15" customHeight="1">
      <c r="A24" s="13"/>
      <c r="B24" s="13"/>
      <c r="C24" s="13"/>
      <c r="D24" s="13"/>
      <c r="E24" s="13"/>
      <c r="F24" s="13"/>
      <c r="G24" s="13"/>
      <c r="H24" s="13"/>
      <c r="I24" s="13"/>
      <c r="J24" s="13"/>
      <c r="K24" s="13"/>
      <c r="L24" s="13"/>
      <c r="M24" s="13"/>
      <c r="N24" s="78"/>
    </row>
    <row r="25" ht="15" customHeight="1">
      <c r="A25" t="s" s="32">
        <v>28</v>
      </c>
      <c r="B25" t="s" s="14">
        <v>9</v>
      </c>
      <c r="C25" t="s" s="14">
        <v>10</v>
      </c>
      <c r="D25" t="s" s="14">
        <v>11</v>
      </c>
      <c r="E25" t="s" s="14">
        <v>12</v>
      </c>
      <c r="F25" t="s" s="14">
        <v>13</v>
      </c>
      <c r="G25" t="s" s="14">
        <v>14</v>
      </c>
      <c r="H25" t="s" s="14">
        <v>15</v>
      </c>
      <c r="I25" t="s" s="14">
        <v>16</v>
      </c>
      <c r="J25" t="s" s="14">
        <v>17</v>
      </c>
      <c r="K25" t="s" s="14">
        <v>18</v>
      </c>
      <c r="L25" t="s" s="14">
        <v>19</v>
      </c>
      <c r="M25" t="s" s="14">
        <v>20</v>
      </c>
      <c r="N25" t="s" s="73">
        <v>95</v>
      </c>
    </row>
    <row r="26" ht="15" customHeight="1">
      <c r="A26" t="s" s="33">
        <v>29</v>
      </c>
      <c r="B26" s="79">
        <v>1096</v>
      </c>
      <c r="C26" s="79">
        <v>1590</v>
      </c>
      <c r="D26" s="79">
        <v>1378</v>
      </c>
      <c r="E26" s="80">
        <v>1406</v>
      </c>
      <c r="F26" s="80">
        <v>1258</v>
      </c>
      <c r="G26" s="80">
        <v>1282</v>
      </c>
      <c r="H26" s="80" cm="1">
        <f t="array" ref="H26">7282/5</f>
        <v>1456.4</v>
      </c>
      <c r="I26" s="80" cm="1">
        <f t="array" ref="I26">5482/4</f>
        <v>1370.5</v>
      </c>
      <c r="J26" s="35"/>
      <c r="K26" s="35"/>
      <c r="L26" s="35"/>
      <c r="M26" s="80" cm="1">
        <f t="array" ref="M26">71107/52</f>
        <v>1367.442307692310</v>
      </c>
      <c r="N26" s="81">
        <v>1430</v>
      </c>
    </row>
    <row r="27" ht="15" customHeight="1">
      <c r="A27" t="s" s="33">
        <v>30</v>
      </c>
      <c r="B27" s="80">
        <v>88</v>
      </c>
      <c r="C27" s="80">
        <v>96</v>
      </c>
      <c r="D27" s="80">
        <v>73</v>
      </c>
      <c r="E27" s="80">
        <v>78</v>
      </c>
      <c r="F27" s="80">
        <v>60</v>
      </c>
      <c r="G27" s="80">
        <v>98</v>
      </c>
      <c r="H27" s="80">
        <v>99</v>
      </c>
      <c r="I27" s="17" cm="1">
        <f t="array" ref="I27">SUM(B27:G27)/6</f>
        <v>82.1666666666667</v>
      </c>
      <c r="J27" s="35"/>
      <c r="K27" s="35"/>
      <c r="L27" s="35"/>
      <c r="M27" s="80" cm="1">
        <f t="array" ref="M27">4625/52</f>
        <v>88.94230769230769</v>
      </c>
      <c r="N27" s="36"/>
    </row>
    <row r="28" ht="15" customHeight="1">
      <c r="A28" t="s" s="33">
        <v>31</v>
      </c>
      <c r="B28" s="80">
        <v>227</v>
      </c>
      <c r="C28" s="80">
        <v>252</v>
      </c>
      <c r="D28" s="80">
        <v>354</v>
      </c>
      <c r="E28" s="80">
        <v>248</v>
      </c>
      <c r="F28" s="80">
        <v>554</v>
      </c>
      <c r="G28" s="80">
        <v>314</v>
      </c>
      <c r="H28" s="80">
        <v>359</v>
      </c>
      <c r="I28" s="17" cm="1">
        <f t="array" ref="I28">SUM(B28:G28)/6</f>
        <v>324.833333333333</v>
      </c>
      <c r="J28" s="35"/>
      <c r="K28" s="35"/>
      <c r="L28" s="35"/>
      <c r="M28" s="80" cm="1">
        <f t="array" ref="M28">3442/12</f>
        <v>286.833333333333</v>
      </c>
      <c r="N28" s="36"/>
    </row>
    <row r="29" ht="15" customHeight="1">
      <c r="A29" t="s" s="33">
        <v>32</v>
      </c>
      <c r="B29" s="80" cm="1">
        <f t="array" ref="B29">38+1049+23</f>
        <v>1110</v>
      </c>
      <c r="C29" s="80" cm="1">
        <f t="array" ref="C29">39+999+46</f>
        <v>1084</v>
      </c>
      <c r="D29" s="80" cm="1">
        <f t="array" ref="D29">52+1004+68</f>
        <v>1124</v>
      </c>
      <c r="E29" s="80" cm="1">
        <f t="array" ref="E29">87+973+31</f>
        <v>1091</v>
      </c>
      <c r="F29" s="80" cm="1">
        <f t="array" ref="F29">1174+33+36</f>
        <v>1243</v>
      </c>
      <c r="G29" s="80" cm="1">
        <f t="array" ref="G29">63+936+30</f>
        <v>1029</v>
      </c>
      <c r="H29" s="80" cm="1">
        <f t="array" ref="H29">56+1225+42</f>
        <v>1323</v>
      </c>
      <c r="I29" s="17" cm="1">
        <f t="array" ref="I29">47+843+27</f>
        <v>917</v>
      </c>
      <c r="J29" s="17" cm="1">
        <f t="array" ref="J29">909+32+30</f>
        <v>971</v>
      </c>
      <c r="K29" s="17" cm="1">
        <f t="array" ref="K29">54+1138+25</f>
        <v>1217</v>
      </c>
      <c r="L29" s="17" cm="1">
        <f t="array" ref="L29">51+846+30</f>
        <v>927</v>
      </c>
      <c r="M29" s="17" cm="1">
        <f t="array" ref="M29">44+1104+14</f>
        <v>1162</v>
      </c>
      <c r="N29" s="82" cm="1">
        <f t="array" ref="N29">SUM(B29:M29)/12</f>
        <v>1099.833333333330</v>
      </c>
    </row>
    <row r="30" ht="15" customHeight="1">
      <c r="A30" t="s" s="33">
        <v>33</v>
      </c>
      <c r="B30" s="80" cm="1">
        <f t="array" ref="B30">SUM(B31:B33)</f>
        <v>184.8</v>
      </c>
      <c r="C30" s="80" cm="1">
        <f t="array" ref="C30">SUM(C31:C33)</f>
        <v>269.25</v>
      </c>
      <c r="D30" s="80" cm="1">
        <f t="array" ref="D30">SUM(D31:D33)</f>
        <v>251.25</v>
      </c>
      <c r="E30" s="80" cm="1">
        <f t="array" ref="E30">SUM(E31:E33)</f>
        <v>253.8</v>
      </c>
      <c r="F30" s="80" cm="1">
        <f t="array" ref="F30">SUM(F31:F33)</f>
        <v>246</v>
      </c>
      <c r="G30" s="80" cm="1">
        <f t="array" ref="G30">SUM(G31:G33)</f>
        <v>229.5</v>
      </c>
      <c r="H30" s="80" cm="1">
        <f t="array" ref="H30">SUM(H31:H33)</f>
        <v>270.6</v>
      </c>
      <c r="I30" s="80" cm="1">
        <f t="array" ref="I30">SUM(I31:I33)</f>
        <v>259</v>
      </c>
      <c r="J30" s="17" cm="1">
        <f t="array" ref="J30">1039/4</f>
        <v>259.75</v>
      </c>
      <c r="K30" s="80" cm="1">
        <f t="array" ref="K30">1287/5</f>
        <v>257.4</v>
      </c>
      <c r="L30" s="17" cm="1">
        <f t="array" ref="L30">1038/4</f>
        <v>259.5</v>
      </c>
      <c r="M30" s="17" cm="1">
        <f t="array" ref="M30">984/5</f>
        <v>196.8</v>
      </c>
      <c r="N30" s="36"/>
    </row>
    <row r="31" ht="15" customHeight="1">
      <c r="A31" s="40">
        <v>1</v>
      </c>
      <c r="B31" s="80" cm="1">
        <f t="array" ref="B31">178/5</f>
        <v>35.6</v>
      </c>
      <c r="C31" s="80" cm="1">
        <f t="array" ref="C31">127/4</f>
        <v>31.75</v>
      </c>
      <c r="D31" s="80" cm="1">
        <f t="array" ref="D31">67/4</f>
        <v>16.75</v>
      </c>
      <c r="E31" s="80" cm="1">
        <f t="array" ref="E31">134/5</f>
        <v>26.8</v>
      </c>
      <c r="F31" s="80" cm="1">
        <f t="array" ref="F31">98/4</f>
        <v>24.5</v>
      </c>
      <c r="G31" s="80" cm="1">
        <f t="array" ref="G31">129/4</f>
        <v>32.25</v>
      </c>
      <c r="H31" s="80" cm="1">
        <f t="array" ref="H31">163/5</f>
        <v>32.6</v>
      </c>
      <c r="I31" s="17">
        <v>50</v>
      </c>
      <c r="J31" s="35"/>
      <c r="K31" s="35"/>
      <c r="L31" s="35"/>
      <c r="M31" s="35"/>
      <c r="N31" s="36"/>
    </row>
    <row r="32" ht="15" customHeight="1">
      <c r="A32" s="40">
        <v>2</v>
      </c>
      <c r="B32" s="80" cm="1">
        <f t="array" ref="B32">351/5</f>
        <v>70.2</v>
      </c>
      <c r="C32" s="80" cm="1">
        <f t="array" ref="C32">585/4</f>
        <v>146.25</v>
      </c>
      <c r="D32" s="80" cm="1">
        <f t="array" ref="D32">620/4</f>
        <v>155</v>
      </c>
      <c r="E32" s="80" cm="1">
        <f t="array" ref="E32">687/5</f>
        <v>137.4</v>
      </c>
      <c r="F32" s="80" cm="1">
        <f t="array" ref="F32">525/4</f>
        <v>131.25</v>
      </c>
      <c r="G32" s="80" cm="1">
        <f t="array" ref="G32">452/4</f>
        <v>113</v>
      </c>
      <c r="H32" s="80" cm="1">
        <f t="array" ref="H32">663/5</f>
        <v>132.6</v>
      </c>
      <c r="I32" s="17">
        <v>113</v>
      </c>
      <c r="J32" s="35"/>
      <c r="K32" s="35"/>
      <c r="L32" s="35"/>
      <c r="M32" s="35"/>
      <c r="N32" s="36"/>
    </row>
    <row r="33" ht="15" customHeight="1">
      <c r="A33" s="40">
        <v>3</v>
      </c>
      <c r="B33" s="80" cm="1">
        <f t="array" ref="B33">395/5</f>
        <v>79</v>
      </c>
      <c r="C33" s="80" cm="1">
        <f t="array" ref="C33">365/4</f>
        <v>91.25</v>
      </c>
      <c r="D33" s="80" cm="1">
        <f t="array" ref="D33">318/4</f>
        <v>79.5</v>
      </c>
      <c r="E33" s="80" cm="1">
        <f t="array" ref="E33">448/5</f>
        <v>89.59999999999999</v>
      </c>
      <c r="F33" s="80" cm="1">
        <f t="array" ref="F33">361/4</f>
        <v>90.25</v>
      </c>
      <c r="G33" s="80" cm="1">
        <f t="array" ref="G33">337/4</f>
        <v>84.25</v>
      </c>
      <c r="H33" s="80" cm="1">
        <f t="array" ref="H33">527/5</f>
        <v>105.4</v>
      </c>
      <c r="I33" s="17">
        <v>96</v>
      </c>
      <c r="J33" s="35"/>
      <c r="K33" s="35"/>
      <c r="L33" s="35"/>
      <c r="M33" s="35"/>
      <c r="N33" s="36"/>
    </row>
    <row r="34" ht="15" customHeight="1">
      <c r="A34" t="s" s="33">
        <v>34</v>
      </c>
      <c r="B34" s="35"/>
      <c r="C34" s="35"/>
      <c r="D34" s="35"/>
      <c r="E34" s="35"/>
      <c r="F34" s="35"/>
      <c r="G34" s="35"/>
      <c r="H34" s="35"/>
      <c r="I34" s="35"/>
      <c r="J34" s="35"/>
      <c r="K34" s="35"/>
      <c r="L34" s="35"/>
      <c r="M34" s="35"/>
      <c r="N34" s="36"/>
    </row>
    <row r="35" ht="15" customHeight="1">
      <c r="A35" s="37"/>
      <c r="B35" s="83"/>
      <c r="C35" s="83"/>
      <c r="D35" s="83"/>
      <c r="E35" s="83"/>
      <c r="F35" s="83"/>
      <c r="G35" s="84"/>
      <c r="H35" s="83"/>
      <c r="I35" s="37"/>
      <c r="J35" s="37"/>
      <c r="K35" s="37"/>
      <c r="L35" s="37"/>
      <c r="M35" s="37"/>
      <c r="N35" s="11"/>
    </row>
    <row r="36" ht="15" customHeight="1">
      <c r="A36" t="s" s="32">
        <v>28</v>
      </c>
      <c r="B36" t="s" s="14">
        <v>9</v>
      </c>
      <c r="C36" t="s" s="14">
        <v>10</v>
      </c>
      <c r="D36" t="s" s="14">
        <v>11</v>
      </c>
      <c r="E36" t="s" s="14">
        <v>12</v>
      </c>
      <c r="F36" t="s" s="14">
        <v>13</v>
      </c>
      <c r="G36" t="s" s="14">
        <v>14</v>
      </c>
      <c r="H36" t="s" s="14">
        <v>15</v>
      </c>
      <c r="I36" t="s" s="14">
        <v>16</v>
      </c>
      <c r="J36" t="s" s="14">
        <v>17</v>
      </c>
      <c r="K36" t="s" s="14">
        <v>18</v>
      </c>
      <c r="L36" t="s" s="14">
        <v>19</v>
      </c>
      <c r="M36" t="s" s="14">
        <v>20</v>
      </c>
      <c r="N36" s="36"/>
    </row>
    <row r="37" ht="15" customHeight="1">
      <c r="A37" t="s" s="33">
        <v>35</v>
      </c>
      <c r="B37" s="17" cm="1">
        <f t="array" ref="B37">9+83</f>
        <v>92</v>
      </c>
      <c r="C37" s="17" cm="1">
        <f t="array" ref="C37">4+107+2</f>
        <v>113</v>
      </c>
      <c r="D37" s="17" cm="1">
        <f t="array" ref="D37">64</f>
        <v>64</v>
      </c>
      <c r="E37" s="17" cm="1">
        <f t="array" ref="E37">86+4</f>
        <v>90</v>
      </c>
      <c r="F37" s="17" cm="1">
        <f t="array" ref="F37">5+42</f>
        <v>47</v>
      </c>
      <c r="G37" s="17" cm="1">
        <f t="array" ref="G37">11+44+1</f>
        <v>56</v>
      </c>
      <c r="H37" s="17" cm="1">
        <f t="array" ref="H37">13+95</f>
        <v>108</v>
      </c>
      <c r="I37" s="17" cm="1">
        <f t="array" ref="I37">2+39</f>
        <v>41</v>
      </c>
      <c r="J37" s="17" cm="1">
        <f t="array" ref="J37">6+56</f>
        <v>62</v>
      </c>
      <c r="K37" s="17" cm="1">
        <f t="array" ref="K37">15+75+2</f>
        <v>92</v>
      </c>
      <c r="L37" s="17" cm="1">
        <f t="array" ref="L37">2+65</f>
        <v>67</v>
      </c>
      <c r="M37" s="17" cm="1">
        <f t="array" ref="M37">1+49</f>
        <v>50</v>
      </c>
      <c r="N37" s="67" cm="1">
        <f t="array" ref="N37">SUM(B37:M37)</f>
        <v>882</v>
      </c>
    </row>
    <row r="38" ht="15" customHeight="1">
      <c r="A38" t="s" s="33">
        <v>85</v>
      </c>
      <c r="B38" s="35"/>
      <c r="C38" s="17">
        <v>31</v>
      </c>
      <c r="D38" s="17">
        <v>30</v>
      </c>
      <c r="E38" s="17">
        <v>20</v>
      </c>
      <c r="F38" s="17">
        <v>25</v>
      </c>
      <c r="G38" s="17">
        <v>22</v>
      </c>
      <c r="H38" s="17">
        <v>25</v>
      </c>
      <c r="I38" s="17">
        <v>26</v>
      </c>
      <c r="J38" s="17">
        <v>46</v>
      </c>
      <c r="K38" s="17">
        <v>19</v>
      </c>
      <c r="L38" s="17">
        <v>31</v>
      </c>
      <c r="M38" s="17">
        <v>24</v>
      </c>
      <c r="N38" s="36"/>
    </row>
    <row r="39" ht="15" customHeight="1">
      <c r="A39" t="s" s="33">
        <v>37</v>
      </c>
      <c r="B39" s="17">
        <v>4</v>
      </c>
      <c r="C39" s="17">
        <v>2</v>
      </c>
      <c r="D39" s="17">
        <v>29</v>
      </c>
      <c r="E39" s="17">
        <v>25</v>
      </c>
      <c r="F39" s="17">
        <v>20</v>
      </c>
      <c r="G39" s="17">
        <v>13</v>
      </c>
      <c r="H39" s="17">
        <v>14</v>
      </c>
      <c r="I39" s="17">
        <v>22</v>
      </c>
      <c r="J39" s="17">
        <v>23</v>
      </c>
      <c r="K39" s="17">
        <v>34</v>
      </c>
      <c r="L39" s="17">
        <v>16</v>
      </c>
      <c r="M39" s="17">
        <v>20</v>
      </c>
      <c r="N39" s="67" cm="1">
        <f t="array" ref="N39">SUM(B39:M39)</f>
        <v>222</v>
      </c>
    </row>
    <row r="40" ht="15" customHeight="1">
      <c r="A40" t="s" s="33">
        <v>100</v>
      </c>
      <c r="B40" s="35"/>
      <c r="C40" s="17">
        <v>10</v>
      </c>
      <c r="D40" s="17">
        <v>5</v>
      </c>
      <c r="E40" s="35"/>
      <c r="F40" s="17">
        <v>4</v>
      </c>
      <c r="G40" s="35"/>
      <c r="H40" s="35"/>
      <c r="I40" s="17">
        <v>10</v>
      </c>
      <c r="J40" s="35"/>
      <c r="K40" s="35"/>
      <c r="L40" s="17">
        <v>12</v>
      </c>
      <c r="M40" s="35"/>
      <c r="N40" s="36"/>
    </row>
    <row r="41" ht="15" customHeight="1">
      <c r="A41" t="s" s="33">
        <v>101</v>
      </c>
      <c r="B41" s="35"/>
      <c r="C41" s="35"/>
      <c r="D41" s="35"/>
      <c r="E41" s="35"/>
      <c r="F41" s="35"/>
      <c r="G41" s="17">
        <v>8</v>
      </c>
      <c r="H41" s="35"/>
      <c r="I41" s="35"/>
      <c r="J41" s="35"/>
      <c r="K41" s="35"/>
      <c r="L41" s="17">
        <v>5</v>
      </c>
      <c r="M41" s="35"/>
      <c r="N41" s="36"/>
    </row>
    <row r="42" ht="15" customHeight="1">
      <c r="A42" t="s" s="33">
        <v>38</v>
      </c>
      <c r="B42" s="17">
        <v>204</v>
      </c>
      <c r="C42" s="17">
        <v>204</v>
      </c>
      <c r="D42" s="17">
        <v>204</v>
      </c>
      <c r="E42" s="17">
        <v>204</v>
      </c>
      <c r="F42" s="17">
        <v>204</v>
      </c>
      <c r="G42" s="17">
        <v>204</v>
      </c>
      <c r="H42" s="17">
        <v>174</v>
      </c>
      <c r="I42" s="17">
        <v>174</v>
      </c>
      <c r="J42" s="17">
        <v>174</v>
      </c>
      <c r="K42" s="17">
        <v>174</v>
      </c>
      <c r="L42" s="17">
        <v>174</v>
      </c>
      <c r="M42" s="17">
        <v>174</v>
      </c>
      <c r="N42" s="36"/>
    </row>
    <row r="43" ht="15" customHeight="1">
      <c r="A43" s="39"/>
      <c r="B43" s="35"/>
      <c r="C43" s="35"/>
      <c r="D43" s="35"/>
      <c r="E43" s="35"/>
      <c r="F43" s="35"/>
      <c r="G43" s="35"/>
      <c r="H43" s="35"/>
      <c r="I43" s="35"/>
      <c r="J43" s="35"/>
      <c r="K43" s="35"/>
      <c r="L43" s="35"/>
      <c r="M43" s="35"/>
      <c r="N43" s="36"/>
    </row>
    <row r="44" ht="29" customHeight="1">
      <c r="A44" t="s" s="68">
        <v>86</v>
      </c>
      <c r="B44" t="s" s="14">
        <v>9</v>
      </c>
      <c r="C44" t="s" s="14">
        <v>10</v>
      </c>
      <c r="D44" t="s" s="14">
        <v>11</v>
      </c>
      <c r="E44" t="s" s="14">
        <v>12</v>
      </c>
      <c r="F44" t="s" s="14">
        <v>13</v>
      </c>
      <c r="G44" t="s" s="14">
        <v>14</v>
      </c>
      <c r="H44" t="s" s="14">
        <v>15</v>
      </c>
      <c r="I44" t="s" s="14">
        <v>16</v>
      </c>
      <c r="J44" t="s" s="14">
        <v>17</v>
      </c>
      <c r="K44" t="s" s="14">
        <v>18</v>
      </c>
      <c r="L44" t="s" s="14">
        <v>19</v>
      </c>
      <c r="M44" t="s" s="14">
        <v>20</v>
      </c>
      <c r="N44" s="36"/>
    </row>
    <row r="45" ht="15" customHeight="1">
      <c r="A45" t="s" s="33">
        <v>39</v>
      </c>
      <c r="B45" s="35"/>
      <c r="C45" s="17">
        <v>300</v>
      </c>
      <c r="D45" s="17">
        <v>270</v>
      </c>
      <c r="E45" s="17">
        <v>234</v>
      </c>
      <c r="F45" s="17">
        <v>215</v>
      </c>
      <c r="G45" s="17">
        <v>211</v>
      </c>
      <c r="H45" s="35"/>
      <c r="I45" s="17">
        <v>230</v>
      </c>
      <c r="J45" s="17">
        <v>242</v>
      </c>
      <c r="K45" s="17">
        <v>240</v>
      </c>
      <c r="L45" s="17">
        <v>245</v>
      </c>
      <c r="M45" s="17">
        <v>245</v>
      </c>
      <c r="N45" s="36"/>
    </row>
    <row r="46" ht="15" customHeight="1">
      <c r="A46" t="s" s="33">
        <v>40</v>
      </c>
      <c r="B46" s="35"/>
      <c r="C46" s="35"/>
      <c r="D46" s="35"/>
      <c r="E46" s="35"/>
      <c r="F46" s="35"/>
      <c r="G46" s="17">
        <v>249</v>
      </c>
      <c r="H46" s="35"/>
      <c r="I46" s="35"/>
      <c r="J46" s="35"/>
      <c r="K46" s="35"/>
      <c r="L46" s="35"/>
      <c r="M46" s="17">
        <v>238</v>
      </c>
      <c r="N46" s="36"/>
    </row>
    <row r="47" ht="15" customHeight="1">
      <c r="A47" t="s" s="33">
        <v>41</v>
      </c>
      <c r="B47" s="35"/>
      <c r="C47" s="35"/>
      <c r="D47" s="35"/>
      <c r="E47" s="35"/>
      <c r="F47" s="35"/>
      <c r="G47" s="17">
        <v>30</v>
      </c>
      <c r="H47" s="17">
        <v>14</v>
      </c>
      <c r="I47" s="17">
        <v>16</v>
      </c>
      <c r="J47" s="17">
        <v>37</v>
      </c>
      <c r="K47" s="17">
        <v>11</v>
      </c>
      <c r="L47" s="35"/>
      <c r="M47" s="17">
        <v>22</v>
      </c>
      <c r="N47" s="36"/>
    </row>
    <row r="48" ht="15" customHeight="1">
      <c r="A48" t="s" s="33">
        <v>42</v>
      </c>
      <c r="B48" s="39"/>
      <c r="C48" s="17">
        <v>490</v>
      </c>
      <c r="D48" s="17">
        <v>120</v>
      </c>
      <c r="E48" s="35"/>
      <c r="F48" s="35"/>
      <c r="G48" s="17">
        <v>138</v>
      </c>
      <c r="H48" s="35"/>
      <c r="I48" s="35"/>
      <c r="J48" s="35"/>
      <c r="K48" s="39"/>
      <c r="L48" s="39"/>
      <c r="M48" s="40">
        <v>103</v>
      </c>
      <c r="N48" s="36"/>
    </row>
    <row r="49" ht="15" customHeight="1">
      <c r="A49" t="s" s="33">
        <v>87</v>
      </c>
      <c r="B49" s="39"/>
      <c r="C49" s="17">
        <v>35</v>
      </c>
      <c r="D49" s="17">
        <v>32</v>
      </c>
      <c r="E49" s="17">
        <v>30</v>
      </c>
      <c r="F49" s="17">
        <v>36</v>
      </c>
      <c r="G49" s="17">
        <v>34</v>
      </c>
      <c r="H49" s="17">
        <v>25</v>
      </c>
      <c r="I49" s="17">
        <v>20</v>
      </c>
      <c r="J49" s="17">
        <v>28</v>
      </c>
      <c r="K49" s="40">
        <v>20</v>
      </c>
      <c r="L49" s="40">
        <v>35</v>
      </c>
      <c r="M49" s="40">
        <v>35</v>
      </c>
      <c r="N49" s="36"/>
    </row>
    <row r="50" ht="15" customHeight="1">
      <c r="A50" t="s" s="33">
        <v>88</v>
      </c>
      <c r="B50" s="39"/>
      <c r="C50" s="35"/>
      <c r="D50" s="35"/>
      <c r="E50" s="35"/>
      <c r="F50" s="35"/>
      <c r="G50" s="17">
        <v>46</v>
      </c>
      <c r="H50" s="35"/>
      <c r="I50" s="39"/>
      <c r="J50" s="39"/>
      <c r="K50" s="35"/>
      <c r="L50" s="39"/>
      <c r="M50" s="40">
        <v>50</v>
      </c>
      <c r="N50" s="36"/>
    </row>
    <row r="51" ht="15" customHeight="1">
      <c r="A51" t="s" s="33">
        <v>43</v>
      </c>
      <c r="B51" s="39"/>
      <c r="C51" s="35"/>
      <c r="D51" s="35"/>
      <c r="E51" s="35"/>
      <c r="F51" s="35"/>
      <c r="G51" s="17">
        <v>28</v>
      </c>
      <c r="H51" s="35"/>
      <c r="I51" s="35"/>
      <c r="J51" s="35"/>
      <c r="K51" s="35"/>
      <c r="L51" s="39"/>
      <c r="M51" s="39"/>
      <c r="N51" s="36"/>
    </row>
    <row r="52" ht="15" customHeight="1">
      <c r="A52" t="s" s="33">
        <v>22</v>
      </c>
      <c r="B52" s="17" cm="1">
        <f t="array" ref="B52">SUM(B45:B51)</f>
        <v>0</v>
      </c>
      <c r="C52" s="17" cm="1">
        <f t="array" ref="C52">SUM(C45:C51)</f>
        <v>825</v>
      </c>
      <c r="D52" s="17" cm="1">
        <f t="array" ref="D52">SUM(D45:D51)</f>
        <v>422</v>
      </c>
      <c r="E52" s="17" cm="1">
        <f t="array" ref="E52">SUM(E45:E51)</f>
        <v>264</v>
      </c>
      <c r="F52" s="17" cm="1">
        <f t="array" ref="F52">SUM(F45:F51)</f>
        <v>251</v>
      </c>
      <c r="G52" s="17" cm="1">
        <f t="array" ref="G52">SUM(G45:G51)</f>
        <v>736</v>
      </c>
      <c r="H52" s="17" cm="1">
        <f t="array" ref="H52">SUM(H45:H51)</f>
        <v>39</v>
      </c>
      <c r="I52" s="17" cm="1">
        <f t="array" ref="I52">SUM(I45:I51)</f>
        <v>266</v>
      </c>
      <c r="J52" s="17" cm="1">
        <f t="array" ref="J52">SUM(J45:J51)</f>
        <v>307</v>
      </c>
      <c r="K52" s="17" cm="1">
        <f t="array" ref="K52">SUM(K45:K48)</f>
        <v>251</v>
      </c>
      <c r="L52" s="40" cm="1">
        <f t="array" ref="L52">SUM(L45:L48)</f>
        <v>245</v>
      </c>
      <c r="M52" s="40" cm="1">
        <f t="array" ref="M52">SUM(M45:M48)</f>
        <v>608</v>
      </c>
      <c r="N52" s="36"/>
    </row>
    <row r="53" ht="15" customHeight="1">
      <c r="A53" s="37"/>
      <c r="B53" s="30"/>
      <c r="C53" s="41"/>
      <c r="D53" s="41"/>
      <c r="E53" s="41"/>
      <c r="F53" s="41"/>
      <c r="G53" s="30"/>
      <c r="H53" s="30"/>
      <c r="I53" s="30"/>
      <c r="J53" s="30"/>
      <c r="K53" s="30"/>
      <c r="L53" s="30"/>
      <c r="M53" s="30"/>
      <c r="N53" s="11"/>
    </row>
    <row r="54" ht="15" customHeight="1">
      <c r="A54" s="37"/>
      <c r="B54" s="11"/>
      <c r="C54" s="41"/>
      <c r="D54" s="41"/>
      <c r="E54" s="41"/>
      <c r="F54" s="41"/>
      <c r="G54" s="11"/>
      <c r="H54" s="11"/>
      <c r="I54" s="85">
        <v>42948</v>
      </c>
      <c r="J54" s="86">
        <v>42979</v>
      </c>
      <c r="K54" s="86">
        <v>43009</v>
      </c>
      <c r="L54" s="86">
        <v>43405</v>
      </c>
      <c r="M54" s="86">
        <v>43435</v>
      </c>
      <c r="N54" s="11"/>
    </row>
    <row r="55" ht="15" customHeight="1">
      <c r="A55" t="s" s="87">
        <v>102</v>
      </c>
      <c r="B55" s="11"/>
      <c r="C55" s="41"/>
      <c r="D55" s="41"/>
      <c r="E55" s="41"/>
      <c r="F55" s="41"/>
      <c r="G55" s="11"/>
      <c r="H55" s="11"/>
      <c r="I55" s="55" cm="1">
        <f t="array" ref="I55">I56+I57</f>
        <v>230</v>
      </c>
      <c r="J55" s="55" cm="1">
        <f t="array" ref="J55">J56+J57</f>
        <v>242</v>
      </c>
      <c r="K55" s="55" cm="1">
        <f t="array" ref="K55">K56+K57</f>
        <v>240</v>
      </c>
      <c r="L55" s="55" cm="1">
        <f t="array" ref="L55">L56+L57</f>
        <v>245</v>
      </c>
      <c r="M55" s="55" cm="1">
        <f t="array" ref="M55">M56+M57</f>
        <v>245</v>
      </c>
      <c r="N55" s="11"/>
    </row>
    <row r="56" ht="15" customHeight="1">
      <c r="A56" t="s" s="87">
        <v>103</v>
      </c>
      <c r="B56" s="11"/>
      <c r="C56" s="41"/>
      <c r="D56" s="41"/>
      <c r="E56" s="41"/>
      <c r="F56" s="41"/>
      <c r="G56" s="11"/>
      <c r="H56" s="11"/>
      <c r="I56" s="55">
        <v>98</v>
      </c>
      <c r="J56" s="55">
        <v>102</v>
      </c>
      <c r="K56" s="55">
        <v>110</v>
      </c>
      <c r="L56" s="55">
        <v>113</v>
      </c>
      <c r="M56" s="55">
        <v>113</v>
      </c>
      <c r="N56" s="11"/>
    </row>
    <row r="57" ht="15" customHeight="1">
      <c r="A57" t="s" s="87">
        <v>104</v>
      </c>
      <c r="B57" s="11"/>
      <c r="C57" s="41"/>
      <c r="D57" s="41"/>
      <c r="E57" s="41"/>
      <c r="F57" s="41"/>
      <c r="G57" s="11"/>
      <c r="H57" s="11"/>
      <c r="I57" s="55">
        <v>132</v>
      </c>
      <c r="J57" s="55">
        <v>140</v>
      </c>
      <c r="K57" s="55">
        <v>130</v>
      </c>
      <c r="L57" s="55" cm="1">
        <f t="array" ref="L57">245-L56</f>
        <v>132</v>
      </c>
      <c r="M57" s="55" cm="1">
        <f t="array" ref="M57">245-M56</f>
        <v>132</v>
      </c>
      <c r="N57" s="11"/>
    </row>
    <row r="58" ht="15" customHeight="1">
      <c r="A58" s="37"/>
      <c r="B58" s="11"/>
      <c r="C58" s="41"/>
      <c r="D58" s="41"/>
      <c r="E58" s="41"/>
      <c r="F58" s="41"/>
      <c r="G58" s="11"/>
      <c r="H58" s="11"/>
      <c r="I58" s="11"/>
      <c r="J58" s="11"/>
      <c r="K58" s="11"/>
      <c r="L58" s="11"/>
      <c r="M58" s="11"/>
      <c r="N58" s="11"/>
    </row>
    <row r="59" ht="15" customHeight="1">
      <c r="A59" t="s" s="87">
        <v>105</v>
      </c>
      <c r="B59" s="11"/>
      <c r="C59" s="41"/>
      <c r="D59" s="41"/>
      <c r="E59" s="41"/>
      <c r="F59" s="41"/>
      <c r="G59" s="11"/>
      <c r="H59" s="11"/>
      <c r="I59" s="55" cm="1">
        <f t="array" ref="I59">SUM((I60:I62))</f>
        <v>214</v>
      </c>
      <c r="J59" s="55" cm="1">
        <f t="array" ref="J59">SUM((J60:J62))</f>
        <v>185</v>
      </c>
      <c r="K59" s="55" cm="1">
        <f t="array" ref="K59">SUM((K60:K62))</f>
        <v>185</v>
      </c>
      <c r="L59" s="55" cm="1">
        <f t="array" ref="L59">SUM((L60:L62))</f>
        <v>220</v>
      </c>
      <c r="M59" s="55" cm="1">
        <f t="array" ref="M59">SUM((M60:M62))</f>
        <v>220</v>
      </c>
      <c r="N59" s="11"/>
    </row>
    <row r="60" ht="15" customHeight="1">
      <c r="A60" t="s" s="87">
        <v>103</v>
      </c>
      <c r="B60" s="11"/>
      <c r="C60" s="41"/>
      <c r="D60" s="41"/>
      <c r="E60" s="41"/>
      <c r="F60" s="41"/>
      <c r="G60" s="11"/>
      <c r="H60" s="11"/>
      <c r="I60" s="55">
        <v>100</v>
      </c>
      <c r="J60" s="55">
        <v>95</v>
      </c>
      <c r="K60" s="55">
        <v>100</v>
      </c>
      <c r="L60" s="55">
        <v>118</v>
      </c>
      <c r="M60" s="55">
        <v>118</v>
      </c>
      <c r="N60" s="11"/>
    </row>
    <row r="61" ht="15" customHeight="1">
      <c r="A61" t="s" s="87">
        <v>106</v>
      </c>
      <c r="B61" s="11"/>
      <c r="C61" s="41"/>
      <c r="D61" s="41"/>
      <c r="E61" s="41"/>
      <c r="F61" s="41"/>
      <c r="G61" s="11"/>
      <c r="H61" s="11"/>
      <c r="I61" s="55">
        <v>60</v>
      </c>
      <c r="J61" s="55">
        <v>50</v>
      </c>
      <c r="K61" s="55">
        <v>45</v>
      </c>
      <c r="L61" s="55">
        <v>54</v>
      </c>
      <c r="M61" s="55">
        <v>54</v>
      </c>
      <c r="N61" s="11"/>
    </row>
    <row r="62" ht="15" customHeight="1">
      <c r="A62" t="s" s="87">
        <v>107</v>
      </c>
      <c r="B62" s="11"/>
      <c r="C62" s="41"/>
      <c r="D62" s="41"/>
      <c r="E62" s="41"/>
      <c r="F62" s="41"/>
      <c r="G62" s="11"/>
      <c r="H62" s="11"/>
      <c r="I62" s="55">
        <v>54</v>
      </c>
      <c r="J62" s="55">
        <v>40</v>
      </c>
      <c r="K62" s="55">
        <v>40</v>
      </c>
      <c r="L62" s="55">
        <v>48</v>
      </c>
      <c r="M62" s="55">
        <v>48</v>
      </c>
      <c r="N62" s="11"/>
    </row>
    <row r="63" ht="15" customHeight="1">
      <c r="A63" s="37"/>
      <c r="B63" s="13"/>
      <c r="C63" s="41"/>
      <c r="D63" s="41"/>
      <c r="E63" s="41"/>
      <c r="F63" s="41"/>
      <c r="G63" s="13"/>
      <c r="H63" s="13"/>
      <c r="I63" s="13"/>
      <c r="J63" s="13"/>
      <c r="K63" s="13"/>
      <c r="L63" s="13"/>
      <c r="M63" s="13"/>
      <c r="N63" s="11"/>
    </row>
    <row r="64" ht="15" customHeight="1">
      <c r="A64" t="s" s="88">
        <v>108</v>
      </c>
      <c r="B64" t="s" s="14">
        <v>9</v>
      </c>
      <c r="C64" t="s" s="14">
        <v>10</v>
      </c>
      <c r="D64" t="s" s="14">
        <v>11</v>
      </c>
      <c r="E64" t="s" s="14">
        <v>12</v>
      </c>
      <c r="F64" t="s" s="14">
        <v>13</v>
      </c>
      <c r="G64" t="s" s="14">
        <v>14</v>
      </c>
      <c r="H64" t="s" s="14">
        <v>15</v>
      </c>
      <c r="I64" t="s" s="14">
        <v>16</v>
      </c>
      <c r="J64" t="s" s="14">
        <v>17</v>
      </c>
      <c r="K64" t="s" s="14">
        <v>18</v>
      </c>
      <c r="L64" t="s" s="14">
        <v>19</v>
      </c>
      <c r="M64" t="s" s="14">
        <v>20</v>
      </c>
      <c r="N64" s="36"/>
    </row>
    <row r="65" ht="15" customHeight="1">
      <c r="A65" t="s" s="33">
        <v>109</v>
      </c>
      <c r="B65" s="40">
        <v>20</v>
      </c>
      <c r="C65" s="17">
        <v>20</v>
      </c>
      <c r="D65" s="17">
        <v>22</v>
      </c>
      <c r="E65" s="17">
        <v>19</v>
      </c>
      <c r="F65" s="17">
        <v>26</v>
      </c>
      <c r="G65" s="39"/>
      <c r="H65" s="40">
        <v>22</v>
      </c>
      <c r="I65" s="40">
        <v>27</v>
      </c>
      <c r="J65" s="40">
        <v>21</v>
      </c>
      <c r="K65" s="39"/>
      <c r="L65" s="40">
        <v>24</v>
      </c>
      <c r="M65" s="40">
        <v>26</v>
      </c>
      <c r="N65" s="36"/>
    </row>
    <row r="66" ht="15" customHeight="1">
      <c r="A66" t="s" s="33">
        <v>110</v>
      </c>
      <c r="B66" s="40">
        <v>31</v>
      </c>
      <c r="C66" s="17">
        <v>33</v>
      </c>
      <c r="D66" s="17">
        <v>33</v>
      </c>
      <c r="E66" s="17">
        <v>40</v>
      </c>
      <c r="F66" s="17">
        <v>35</v>
      </c>
      <c r="G66" s="17">
        <v>39</v>
      </c>
      <c r="H66" s="40">
        <v>47</v>
      </c>
      <c r="I66" s="40">
        <v>43</v>
      </c>
      <c r="J66" s="40">
        <v>28</v>
      </c>
      <c r="K66" s="40">
        <v>32</v>
      </c>
      <c r="L66" s="40">
        <v>34</v>
      </c>
      <c r="M66" s="40">
        <v>31</v>
      </c>
      <c r="N66" s="36"/>
    </row>
    <row r="67" ht="15" customHeight="1">
      <c r="A67" s="37"/>
      <c r="B67" s="37"/>
      <c r="C67" s="41"/>
      <c r="D67" s="41"/>
      <c r="E67" s="41"/>
      <c r="F67" s="41"/>
      <c r="G67" s="37"/>
      <c r="H67" s="37"/>
      <c r="I67" s="37"/>
      <c r="J67" s="37"/>
      <c r="K67" s="37"/>
      <c r="L67" s="37"/>
      <c r="M67" s="37"/>
      <c r="N67" s="11"/>
    </row>
    <row r="68" ht="15" customHeight="1">
      <c r="A68" t="s" s="32">
        <v>28</v>
      </c>
      <c r="B68" t="s" s="14">
        <v>9</v>
      </c>
      <c r="C68" t="s" s="14">
        <v>10</v>
      </c>
      <c r="D68" t="s" s="14">
        <v>11</v>
      </c>
      <c r="E68" t="s" s="14">
        <v>12</v>
      </c>
      <c r="F68" t="s" s="14">
        <v>13</v>
      </c>
      <c r="G68" t="s" s="14">
        <v>14</v>
      </c>
      <c r="H68" t="s" s="14">
        <v>15</v>
      </c>
      <c r="I68" t="s" s="14">
        <v>16</v>
      </c>
      <c r="J68" t="s" s="14">
        <v>17</v>
      </c>
      <c r="K68" t="s" s="14">
        <v>18</v>
      </c>
      <c r="L68" t="s" s="14">
        <v>19</v>
      </c>
      <c r="M68" t="s" s="14">
        <v>20</v>
      </c>
      <c r="N68" s="36"/>
    </row>
    <row r="69" ht="15" customHeight="1">
      <c r="A69" t="s" s="42">
        <v>45</v>
      </c>
      <c r="B69" s="69" cm="1">
        <f t="array" ref="B69">B52/B26</f>
        <v>0</v>
      </c>
      <c r="C69" s="69" cm="1">
        <f t="array" ref="C69">C52/C26</f>
        <v>0.518867924528302</v>
      </c>
      <c r="D69" s="69" cm="1">
        <f t="array" ref="D69">D52/D26</f>
        <v>0.306240928882438</v>
      </c>
      <c r="E69" s="69" cm="1">
        <f t="array" ref="E69">E52/E26</f>
        <v>0.187766714082504</v>
      </c>
      <c r="F69" s="69" cm="1">
        <f t="array" ref="F69">F52/F26</f>
        <v>0.199523052464229</v>
      </c>
      <c r="G69" s="69" cm="1">
        <f t="array" ref="G69">G52/G26</f>
        <v>0.574102964118565</v>
      </c>
      <c r="H69" s="69" cm="1">
        <f t="array" ref="H69">H52/H26</f>
        <v>0.0267783575940676</v>
      </c>
      <c r="I69" s="69" cm="1">
        <f t="array" ref="I69">I52/I26</f>
        <v>0.194089748267056</v>
      </c>
      <c r="J69" s="89" cm="1">
        <f t="array" ref="J69">J52/J26</f>
      </c>
      <c r="K69" s="30" cm="1">
        <f t="array" ref="K69">K52/K26</f>
      </c>
      <c r="L69" s="30" cm="1">
        <f t="array" ref="L69">L52/L26</f>
      </c>
      <c r="M69" s="43" cm="1">
        <f t="array" ref="M69">M52/M26</f>
        <v>0.444625704923565</v>
      </c>
      <c r="N69" s="11"/>
    </row>
    <row r="70" ht="15" customHeight="1">
      <c r="A70" s="11"/>
      <c r="B70" s="11"/>
      <c r="C70" s="12"/>
      <c r="D70" s="12"/>
      <c r="E70" s="12"/>
      <c r="F70" s="12"/>
      <c r="G70" s="11"/>
      <c r="H70" s="11"/>
      <c r="I70" s="11"/>
      <c r="J70" s="11"/>
      <c r="K70" s="11"/>
      <c r="L70" s="11"/>
      <c r="M70" s="11"/>
      <c r="N70" s="11"/>
    </row>
    <row r="71" ht="15" customHeight="1">
      <c r="A71" s="13"/>
      <c r="B71" s="13"/>
      <c r="C71" s="44"/>
      <c r="D71" s="44"/>
      <c r="E71" s="44"/>
      <c r="F71" s="44"/>
      <c r="G71" s="13"/>
      <c r="H71" s="13"/>
      <c r="I71" s="13"/>
      <c r="J71" s="13"/>
      <c r="K71" s="13"/>
      <c r="L71" s="13"/>
      <c r="M71" s="13"/>
      <c r="N71" s="11"/>
    </row>
    <row r="72" ht="15" customHeight="1">
      <c r="A72" t="s" s="32">
        <v>46</v>
      </c>
      <c r="B72" t="s" s="14">
        <v>9</v>
      </c>
      <c r="C72" t="s" s="14">
        <v>10</v>
      </c>
      <c r="D72" t="s" s="14">
        <v>11</v>
      </c>
      <c r="E72" t="s" s="14">
        <v>12</v>
      </c>
      <c r="F72" t="s" s="14">
        <v>13</v>
      </c>
      <c r="G72" t="s" s="14">
        <v>14</v>
      </c>
      <c r="H72" t="s" s="14">
        <v>15</v>
      </c>
      <c r="I72" t="s" s="14">
        <v>16</v>
      </c>
      <c r="J72" t="s" s="14">
        <v>17</v>
      </c>
      <c r="K72" t="s" s="14">
        <v>18</v>
      </c>
      <c r="L72" t="s" s="14">
        <v>19</v>
      </c>
      <c r="M72" t="s" s="14">
        <v>20</v>
      </c>
      <c r="N72" s="36"/>
    </row>
    <row r="73" ht="15" customHeight="1">
      <c r="A73" t="s" s="42">
        <v>47</v>
      </c>
      <c r="B73" s="30"/>
      <c r="C73" s="30"/>
      <c r="D73" s="30"/>
      <c r="E73" s="30"/>
      <c r="F73" s="30"/>
      <c r="G73" s="45">
        <v>56</v>
      </c>
      <c r="H73" s="30"/>
      <c r="I73" s="30"/>
      <c r="J73" s="30"/>
      <c r="K73" s="30"/>
      <c r="L73" s="30"/>
      <c r="M73" s="45">
        <v>57</v>
      </c>
      <c r="N73" s="11"/>
    </row>
    <row r="74" ht="15" customHeight="1">
      <c r="A74" t="s" s="54">
        <v>48</v>
      </c>
      <c r="B74" s="11"/>
      <c r="C74" s="11"/>
      <c r="D74" s="11"/>
      <c r="E74" s="11"/>
      <c r="F74" s="11"/>
      <c r="G74" s="55">
        <v>39</v>
      </c>
      <c r="H74" s="11"/>
      <c r="I74" s="11"/>
      <c r="J74" s="11"/>
      <c r="K74" s="11"/>
      <c r="L74" s="11"/>
      <c r="M74" s="55">
        <v>41</v>
      </c>
      <c r="N74" s="11"/>
    </row>
    <row r="75" ht="15" customHeight="1">
      <c r="A75" t="s" s="54">
        <v>49</v>
      </c>
      <c r="B75" s="11"/>
      <c r="C75" s="11"/>
      <c r="D75" s="11"/>
      <c r="E75" s="11"/>
      <c r="F75" s="11"/>
      <c r="G75" s="55">
        <v>22</v>
      </c>
      <c r="H75" s="55">
        <v>22</v>
      </c>
      <c r="I75" s="55">
        <v>22</v>
      </c>
      <c r="J75" s="55">
        <v>22</v>
      </c>
      <c r="K75" s="55">
        <v>23</v>
      </c>
      <c r="L75" s="55">
        <v>24</v>
      </c>
      <c r="M75" s="55">
        <v>24</v>
      </c>
      <c r="N75" s="11"/>
    </row>
    <row r="76" ht="15" customHeight="1">
      <c r="A76" t="s" s="54">
        <v>50</v>
      </c>
      <c r="B76" s="11"/>
      <c r="C76" s="11"/>
      <c r="D76" s="11"/>
      <c r="E76" s="11"/>
      <c r="F76" s="11"/>
      <c r="G76" s="55">
        <v>36</v>
      </c>
      <c r="H76" s="11"/>
      <c r="I76" s="11"/>
      <c r="J76" s="11"/>
      <c r="K76" s="11"/>
      <c r="L76" s="11"/>
      <c r="M76" s="55">
        <v>32</v>
      </c>
      <c r="N76" s="11"/>
    </row>
    <row r="77" ht="15" customHeight="1">
      <c r="A77" t="s" s="54">
        <v>33</v>
      </c>
      <c r="B77" s="11"/>
      <c r="C77" s="11"/>
      <c r="D77" s="11"/>
      <c r="E77" s="11"/>
      <c r="F77" s="11"/>
      <c r="G77" s="55">
        <v>93</v>
      </c>
      <c r="H77" s="11"/>
      <c r="I77" s="11"/>
      <c r="J77" s="11"/>
      <c r="K77" s="11"/>
      <c r="L77" s="11"/>
      <c r="M77" s="55">
        <v>91</v>
      </c>
      <c r="N77" s="11"/>
    </row>
    <row r="78" ht="15" customHeight="1">
      <c r="A78" t="s" s="54">
        <v>54</v>
      </c>
      <c r="B78" s="11"/>
      <c r="C78" s="11"/>
      <c r="D78" s="11"/>
      <c r="E78" s="11"/>
      <c r="F78" s="11"/>
      <c r="G78" s="55">
        <v>30</v>
      </c>
      <c r="H78" s="11"/>
      <c r="I78" s="11"/>
      <c r="J78" s="11"/>
      <c r="K78" s="11"/>
      <c r="L78" s="11"/>
      <c r="M78" s="55">
        <v>34</v>
      </c>
      <c r="N78" s="11"/>
    </row>
    <row r="79" ht="15" customHeight="1">
      <c r="A79" t="s" s="54">
        <v>89</v>
      </c>
      <c r="B79" s="11"/>
      <c r="C79" s="11"/>
      <c r="D79" s="11"/>
      <c r="E79" s="11"/>
      <c r="F79" s="11"/>
      <c r="G79" s="11"/>
      <c r="H79" s="11"/>
      <c r="I79" s="11"/>
      <c r="J79" s="11"/>
      <c r="K79" s="11"/>
      <c r="L79" s="11"/>
      <c r="M79" s="11"/>
      <c r="N79" s="11"/>
    </row>
    <row r="80" ht="15" customHeight="1">
      <c r="A80" t="s" s="54">
        <v>51</v>
      </c>
      <c r="B80" s="11"/>
      <c r="C80" s="11"/>
      <c r="D80" s="11"/>
      <c r="E80" s="11"/>
      <c r="F80" s="11"/>
      <c r="G80" s="11"/>
      <c r="H80" s="11"/>
      <c r="I80" s="11"/>
      <c r="J80" s="11"/>
      <c r="K80" s="11"/>
      <c r="L80" s="11"/>
      <c r="M80" s="55">
        <v>12</v>
      </c>
      <c r="N80" s="11"/>
    </row>
    <row r="81" ht="15" customHeight="1">
      <c r="A81" t="s" s="54">
        <v>41</v>
      </c>
      <c r="B81" s="11"/>
      <c r="C81" s="11"/>
      <c r="D81" s="11"/>
      <c r="E81" s="11"/>
      <c r="F81" s="11"/>
      <c r="G81" s="55">
        <v>10</v>
      </c>
      <c r="H81" s="55">
        <v>10</v>
      </c>
      <c r="I81" s="55">
        <v>9</v>
      </c>
      <c r="J81" s="55">
        <v>9</v>
      </c>
      <c r="K81" s="55">
        <v>8</v>
      </c>
      <c r="L81" s="55">
        <v>10</v>
      </c>
      <c r="M81" s="55">
        <v>12</v>
      </c>
      <c r="N81" s="11"/>
    </row>
    <row r="82" ht="15" customHeight="1">
      <c r="A82" t="s" s="54">
        <v>40</v>
      </c>
      <c r="B82" s="11"/>
      <c r="C82" s="11"/>
      <c r="D82" s="11"/>
      <c r="E82" s="11"/>
      <c r="F82" s="11"/>
      <c r="G82" s="55">
        <v>38</v>
      </c>
      <c r="H82" s="11"/>
      <c r="I82" s="11"/>
      <c r="J82" s="11"/>
      <c r="K82" s="11"/>
      <c r="L82" s="11"/>
      <c r="M82" s="55">
        <v>41</v>
      </c>
      <c r="N82" s="11"/>
    </row>
    <row r="83" ht="15" customHeight="1">
      <c r="A83" t="s" s="54">
        <v>52</v>
      </c>
      <c r="B83" s="55">
        <v>84</v>
      </c>
      <c r="C83" s="11"/>
      <c r="D83" s="11"/>
      <c r="E83" s="11"/>
      <c r="F83" s="11"/>
      <c r="G83" s="55">
        <v>107</v>
      </c>
      <c r="H83" s="11"/>
      <c r="I83" s="11"/>
      <c r="J83" s="11"/>
      <c r="K83" s="11"/>
      <c r="L83" s="11"/>
      <c r="M83" s="55">
        <v>122</v>
      </c>
      <c r="N83" s="11"/>
    </row>
    <row r="84" ht="15" customHeight="1">
      <c r="A84" t="s" s="54">
        <v>53</v>
      </c>
      <c r="B84" s="11"/>
      <c r="C84" s="11"/>
      <c r="D84" s="11"/>
      <c r="E84" s="11"/>
      <c r="F84" s="11"/>
      <c r="G84" s="55">
        <v>30</v>
      </c>
      <c r="H84" s="11"/>
      <c r="I84" s="11"/>
      <c r="J84" s="11"/>
      <c r="K84" s="11"/>
      <c r="L84" s="11"/>
      <c r="M84" s="55">
        <v>26</v>
      </c>
      <c r="N84" s="11"/>
    </row>
    <row r="85" ht="15" customHeight="1">
      <c r="A85" t="s" s="54">
        <v>90</v>
      </c>
      <c r="B85" s="11"/>
      <c r="C85" s="11"/>
      <c r="D85" s="11"/>
      <c r="E85" s="11"/>
      <c r="F85" s="11"/>
      <c r="G85" s="55">
        <v>17</v>
      </c>
      <c r="H85" s="11"/>
      <c r="I85" s="11"/>
      <c r="J85" s="11"/>
      <c r="K85" s="11"/>
      <c r="L85" s="11"/>
      <c r="M85" s="55">
        <v>12</v>
      </c>
      <c r="N85" s="11"/>
    </row>
    <row r="86" ht="15" customHeight="1">
      <c r="A86" t="s" s="54">
        <v>88</v>
      </c>
      <c r="B86" s="11"/>
      <c r="C86" s="11"/>
      <c r="D86" s="11"/>
      <c r="E86" s="11"/>
      <c r="F86" s="11"/>
      <c r="G86" s="11"/>
      <c r="H86" s="11"/>
      <c r="I86" s="11"/>
      <c r="J86" s="11"/>
      <c r="K86" s="11"/>
      <c r="L86" s="11"/>
      <c r="M86" s="55">
        <v>12</v>
      </c>
      <c r="N86" s="11"/>
    </row>
    <row r="87" ht="15" customHeight="1">
      <c r="A87" t="s" s="54">
        <v>111</v>
      </c>
      <c r="B87" s="11"/>
      <c r="C87" s="11"/>
      <c r="D87" s="11"/>
      <c r="E87" s="11"/>
      <c r="F87" s="11"/>
      <c r="G87" s="55">
        <v>2</v>
      </c>
      <c r="H87" s="11"/>
      <c r="I87" s="11"/>
      <c r="J87" s="11"/>
      <c r="K87" s="11"/>
      <c r="L87" s="11"/>
      <c r="M87" s="55">
        <v>3</v>
      </c>
      <c r="N87" s="11"/>
    </row>
    <row r="88" ht="15" customHeight="1">
      <c r="A88" t="s" s="54">
        <v>112</v>
      </c>
      <c r="B88" s="11"/>
      <c r="C88" s="11"/>
      <c r="D88" s="11"/>
      <c r="E88" s="11"/>
      <c r="F88" s="11"/>
      <c r="G88" s="55">
        <v>40</v>
      </c>
      <c r="H88" s="11"/>
      <c r="I88" s="11"/>
      <c r="J88" s="11"/>
      <c r="K88" s="11"/>
      <c r="L88" s="11"/>
      <c r="M88" s="55">
        <v>27</v>
      </c>
      <c r="N88" s="11"/>
    </row>
    <row r="89" ht="15" customHeight="1">
      <c r="A89" t="s" s="54">
        <v>113</v>
      </c>
      <c r="B89" s="11"/>
      <c r="C89" s="11"/>
      <c r="D89" s="11"/>
      <c r="E89" s="11"/>
      <c r="F89" s="11"/>
      <c r="G89" s="55">
        <v>16</v>
      </c>
      <c r="H89" s="11"/>
      <c r="I89" s="11"/>
      <c r="J89" s="11"/>
      <c r="K89" s="11"/>
      <c r="L89" s="11"/>
      <c r="M89" s="55">
        <v>26</v>
      </c>
      <c r="N89" s="11"/>
    </row>
    <row r="90" ht="15" customHeight="1">
      <c r="A90" t="s" s="54">
        <v>22</v>
      </c>
      <c r="B90" s="55" cm="1">
        <f t="array" ref="B90">SUM(B73:B89)</f>
        <v>84</v>
      </c>
      <c r="C90" s="55" cm="1">
        <f t="array" ref="C90">SUM(C73:C89)</f>
        <v>0</v>
      </c>
      <c r="D90" s="55" cm="1">
        <f t="array" ref="D90">SUM(D73:D89)</f>
        <v>0</v>
      </c>
      <c r="E90" s="55" cm="1">
        <f t="array" ref="E90">SUM(E73:E89)</f>
        <v>0</v>
      </c>
      <c r="F90" s="55" cm="1">
        <f t="array" ref="F90">SUM(F73:F89)</f>
        <v>0</v>
      </c>
      <c r="G90" s="55" cm="1">
        <f t="array" ref="G90">SUM(G73:G89)</f>
        <v>536</v>
      </c>
      <c r="H90" s="55" cm="1">
        <f t="array" ref="H90">SUM(H73:H89)</f>
        <v>32</v>
      </c>
      <c r="I90" s="55" cm="1">
        <f t="array" ref="I90">SUM(I73:I89)</f>
        <v>31</v>
      </c>
      <c r="J90" s="55" cm="1">
        <f t="array" ref="J90">SUM(J73:J89)</f>
        <v>31</v>
      </c>
      <c r="K90" s="55" cm="1">
        <f t="array" ref="K90">SUM(K73:K89)</f>
        <v>31</v>
      </c>
      <c r="L90" s="55" cm="1">
        <f t="array" ref="L90">SUM(L73:L89)</f>
        <v>34</v>
      </c>
      <c r="M90" s="55" cm="1">
        <f t="array" ref="M90">SUM(M73:M89)</f>
        <v>572</v>
      </c>
      <c r="N90" s="11"/>
    </row>
    <row r="91" ht="15" customHeight="1">
      <c r="A91" s="13"/>
      <c r="B91" s="13"/>
      <c r="C91" s="13"/>
      <c r="D91" s="13"/>
      <c r="E91" s="13"/>
      <c r="F91" s="13"/>
      <c r="G91" s="13"/>
      <c r="H91" s="13"/>
      <c r="I91" s="13"/>
      <c r="J91" s="13"/>
      <c r="K91" s="13"/>
      <c r="L91" s="13"/>
      <c r="M91" s="13"/>
      <c r="N91" s="11"/>
    </row>
    <row r="92" ht="15" customHeight="1">
      <c r="A92" t="s" s="32">
        <v>28</v>
      </c>
      <c r="B92" t="s" s="14">
        <v>9</v>
      </c>
      <c r="C92" t="s" s="14">
        <v>10</v>
      </c>
      <c r="D92" t="s" s="14">
        <v>11</v>
      </c>
      <c r="E92" t="s" s="14">
        <v>12</v>
      </c>
      <c r="F92" t="s" s="14">
        <v>13</v>
      </c>
      <c r="G92" t="s" s="14">
        <v>14</v>
      </c>
      <c r="H92" t="s" s="14">
        <v>15</v>
      </c>
      <c r="I92" t="s" s="14">
        <v>16</v>
      </c>
      <c r="J92" t="s" s="14">
        <v>17</v>
      </c>
      <c r="K92" t="s" s="14">
        <v>18</v>
      </c>
      <c r="L92" t="s" s="14">
        <v>19</v>
      </c>
      <c r="M92" t="s" s="14">
        <v>20</v>
      </c>
      <c r="N92" s="36"/>
    </row>
    <row r="93" ht="15" customHeight="1">
      <c r="A93" t="s" s="42">
        <v>56</v>
      </c>
      <c r="B93" s="23" cm="1">
        <f t="array" ref="B93">B10</f>
        <v>166008156</v>
      </c>
      <c r="C93" s="23" cm="1">
        <f t="array" ref="C93">C10</f>
        <v>156058956</v>
      </c>
      <c r="D93" s="23" cm="1">
        <f t="array" ref="D93">D10</f>
        <v>190219344</v>
      </c>
      <c r="E93" s="23" cm="1">
        <f t="array" ref="E93">E10</f>
        <v>194407406</v>
      </c>
      <c r="F93" s="23" cm="1">
        <f t="array" ref="F93">F10</f>
        <v>178325823</v>
      </c>
      <c r="G93" s="23" cm="1">
        <f t="array" ref="G93">G10</f>
        <v>199200014</v>
      </c>
      <c r="H93" s="23" cm="1">
        <f t="array" ref="H93">H10</f>
        <v>253195018</v>
      </c>
      <c r="I93" s="23" cm="1">
        <f t="array" ref="I93">I10</f>
        <v>145451262</v>
      </c>
      <c r="J93" s="23" cm="1">
        <f t="array" ref="J93">J10</f>
        <v>159741420</v>
      </c>
      <c r="K93" s="23" cm="1">
        <f t="array" ref="K93">K10</f>
        <v>192556299</v>
      </c>
      <c r="L93" s="23" cm="1">
        <f t="array" ref="L93">L10</f>
        <v>159263735</v>
      </c>
      <c r="M93" s="23" cm="1">
        <f t="array" ref="M93">M10</f>
        <v>230260759</v>
      </c>
      <c r="N93" s="11"/>
    </row>
    <row r="94" ht="15" customHeight="1">
      <c r="A94" s="11"/>
      <c r="B94" s="11"/>
      <c r="C94" s="11"/>
      <c r="D94" s="11"/>
      <c r="E94" s="11"/>
      <c r="F94" s="11"/>
      <c r="G94" s="11"/>
      <c r="H94" s="11"/>
      <c r="I94" s="11"/>
      <c r="J94" s="11"/>
      <c r="K94" s="11"/>
      <c r="L94" s="11"/>
      <c r="M94" s="11"/>
      <c r="N94" s="11"/>
    </row>
    <row r="95" ht="15" customHeight="1">
      <c r="A95" s="11"/>
      <c r="B95" s="11"/>
      <c r="C95" s="11"/>
      <c r="D95" s="11"/>
      <c r="E95" s="11"/>
      <c r="F95" s="11"/>
      <c r="G95" s="11"/>
      <c r="H95" s="11"/>
      <c r="I95" s="11"/>
      <c r="J95" s="11"/>
      <c r="K95" s="11"/>
      <c r="L95" s="11"/>
      <c r="M95" s="11"/>
      <c r="N95" s="11"/>
    </row>
    <row r="96" ht="15" customHeight="1">
      <c r="A96" s="11"/>
      <c r="B96" s="11"/>
      <c r="C96" s="11"/>
      <c r="D96" s="11"/>
      <c r="E96" s="11"/>
      <c r="F96" s="11"/>
      <c r="G96" s="11"/>
      <c r="H96" s="11"/>
      <c r="I96" s="11"/>
      <c r="J96" s="11"/>
      <c r="K96" s="11"/>
      <c r="L96" s="11"/>
      <c r="M96" s="11"/>
      <c r="N96" s="11"/>
    </row>
    <row r="97" ht="15" customHeight="1">
      <c r="A97" s="11"/>
      <c r="B97" s="11"/>
      <c r="C97" s="11"/>
      <c r="D97" s="11"/>
      <c r="E97" s="11"/>
      <c r="F97" s="11"/>
      <c r="G97" s="11"/>
      <c r="H97" s="11"/>
      <c r="I97" s="11"/>
      <c r="J97" s="11"/>
      <c r="K97" s="11"/>
      <c r="L97" s="11"/>
      <c r="M97" s="11"/>
      <c r="N97" s="11"/>
    </row>
    <row r="98" ht="15" customHeight="1">
      <c r="A98" s="11"/>
      <c r="B98" s="11"/>
      <c r="C98" s="11"/>
      <c r="D98" s="11"/>
      <c r="E98" s="11"/>
      <c r="F98" s="11"/>
      <c r="G98" s="11"/>
      <c r="H98" s="11"/>
      <c r="I98" s="11"/>
      <c r="J98" s="11"/>
      <c r="K98" s="11"/>
      <c r="L98" s="11"/>
      <c r="M98" s="11"/>
      <c r="N98" s="11"/>
    </row>
    <row r="99" ht="15" customHeight="1">
      <c r="A99" s="11"/>
      <c r="B99" s="11"/>
      <c r="C99" s="11"/>
      <c r="D99" s="11"/>
      <c r="E99" s="11"/>
      <c r="F99" s="11"/>
      <c r="G99" s="11"/>
      <c r="H99" s="11"/>
      <c r="I99" s="11"/>
      <c r="J99" s="11"/>
      <c r="K99" s="11"/>
      <c r="L99" s="11"/>
      <c r="M99" s="11"/>
      <c r="N99" s="11"/>
    </row>
    <row r="100" ht="15" customHeight="1">
      <c r="A100" s="11"/>
      <c r="B100" s="11"/>
      <c r="C100" s="11"/>
      <c r="D100" s="11"/>
      <c r="E100" s="11"/>
      <c r="F100" s="11"/>
      <c r="G100" s="11"/>
      <c r="H100" s="11"/>
      <c r="I100" s="11"/>
      <c r="J100" s="11"/>
      <c r="K100" s="11"/>
      <c r="L100" s="11"/>
      <c r="M100" s="11"/>
      <c r="N100" s="11"/>
    </row>
    <row r="101" ht="15" customHeight="1">
      <c r="A101" s="11"/>
      <c r="B101" s="11"/>
      <c r="C101" s="11"/>
      <c r="D101" s="11"/>
      <c r="E101" s="11"/>
      <c r="F101" s="11"/>
      <c r="G101" s="11"/>
      <c r="H101" s="11"/>
      <c r="I101" s="11"/>
      <c r="J101" s="11"/>
      <c r="K101" s="11"/>
      <c r="L101" s="11"/>
      <c r="M101" s="11"/>
      <c r="N101" s="11"/>
    </row>
    <row r="102" ht="15" customHeight="1">
      <c r="A102" s="11"/>
      <c r="B102" s="11"/>
      <c r="C102" s="11"/>
      <c r="D102" s="11"/>
      <c r="E102" s="11"/>
      <c r="F102" s="11"/>
      <c r="G102" s="11"/>
      <c r="H102" s="11"/>
      <c r="I102" s="11"/>
      <c r="J102" s="11"/>
      <c r="K102" s="11"/>
      <c r="L102" s="11"/>
      <c r="M102" s="11"/>
      <c r="N102" s="11"/>
    </row>
    <row r="103" ht="15" customHeight="1">
      <c r="A103" s="11"/>
      <c r="B103" s="11"/>
      <c r="C103" s="11"/>
      <c r="D103" s="11"/>
      <c r="E103" s="11"/>
      <c r="F103" s="11"/>
      <c r="G103" s="11"/>
      <c r="H103" s="11"/>
      <c r="I103" s="11"/>
      <c r="J103" s="11"/>
      <c r="K103" s="11"/>
      <c r="L103" s="11"/>
      <c r="M103" s="11"/>
      <c r="N103" s="11"/>
    </row>
    <row r="104" ht="15" customHeight="1">
      <c r="A104" s="11"/>
      <c r="B104" s="11"/>
      <c r="C104" s="11"/>
      <c r="D104" s="11"/>
      <c r="E104" s="11"/>
      <c r="F104" s="11"/>
      <c r="G104" s="11"/>
      <c r="H104" s="11"/>
      <c r="I104" s="11"/>
      <c r="J104" s="11"/>
      <c r="K104" s="11"/>
      <c r="L104" s="11"/>
      <c r="M104" s="11"/>
      <c r="N104" s="11"/>
    </row>
    <row r="105" ht="15" customHeight="1">
      <c r="A105" s="11"/>
      <c r="B105" s="11"/>
      <c r="C105" s="11"/>
      <c r="D105" s="11"/>
      <c r="E105" s="11"/>
      <c r="F105" s="11"/>
      <c r="G105" s="11"/>
      <c r="H105" s="11"/>
      <c r="I105" s="11"/>
      <c r="J105" s="11"/>
      <c r="K105" s="11"/>
      <c r="L105" s="11"/>
      <c r="M105" s="11"/>
      <c r="N105" s="11"/>
    </row>
    <row r="106" ht="15" customHeight="1">
      <c r="A106" s="11"/>
      <c r="B106" s="11"/>
      <c r="C106" s="11"/>
      <c r="D106" s="11"/>
      <c r="E106" s="11"/>
      <c r="F106" s="11"/>
      <c r="G106" s="11"/>
      <c r="H106" s="11"/>
      <c r="I106" s="11"/>
      <c r="J106" s="11"/>
      <c r="K106" s="11"/>
      <c r="L106" s="11"/>
      <c r="M106" s="11"/>
      <c r="N106" s="11"/>
    </row>
    <row r="107" ht="15" customHeight="1">
      <c r="A107" s="11"/>
      <c r="B107" s="11"/>
      <c r="C107" s="11"/>
      <c r="D107" s="11"/>
      <c r="E107" s="11"/>
      <c r="F107" s="11"/>
      <c r="G107" s="11"/>
      <c r="H107" s="11"/>
      <c r="I107" s="11"/>
      <c r="J107" s="11"/>
      <c r="K107" s="11"/>
      <c r="L107" s="11"/>
      <c r="M107" s="11"/>
      <c r="N107" s="11"/>
    </row>
    <row r="108" ht="15" customHeight="1">
      <c r="A108" s="11"/>
      <c r="B108" s="11"/>
      <c r="C108" s="11"/>
      <c r="D108" s="11"/>
      <c r="E108" s="11"/>
      <c r="F108" s="11"/>
      <c r="G108" s="11"/>
      <c r="H108" s="11"/>
      <c r="I108" s="11"/>
      <c r="J108" s="11"/>
      <c r="K108" s="11"/>
      <c r="L108" s="11"/>
      <c r="M108" s="11"/>
      <c r="N108" s="11"/>
    </row>
    <row r="109" ht="15" customHeight="1">
      <c r="A109" s="11"/>
      <c r="B109" s="11"/>
      <c r="C109" s="11"/>
      <c r="D109" s="11"/>
      <c r="E109" s="11"/>
      <c r="F109" s="11"/>
      <c r="G109" s="11"/>
      <c r="H109" s="11"/>
      <c r="I109" s="11"/>
      <c r="J109" s="11"/>
      <c r="K109" s="11"/>
      <c r="L109" s="11"/>
      <c r="M109" s="11"/>
      <c r="N109" s="11"/>
    </row>
    <row r="110" ht="15" customHeight="1">
      <c r="A110" s="11"/>
      <c r="B110" s="11"/>
      <c r="C110" s="11"/>
      <c r="D110" s="11"/>
      <c r="E110" s="11"/>
      <c r="F110" s="11"/>
      <c r="G110" s="11"/>
      <c r="H110" s="11"/>
      <c r="I110" s="11"/>
      <c r="J110" s="11"/>
      <c r="K110" s="11"/>
      <c r="L110" s="11"/>
      <c r="M110" s="11"/>
      <c r="N110" s="11"/>
    </row>
    <row r="111" ht="15" customHeight="1">
      <c r="A111" s="11"/>
      <c r="B111" s="11"/>
      <c r="C111" s="11"/>
      <c r="D111" s="11"/>
      <c r="E111" s="11"/>
      <c r="F111" s="11"/>
      <c r="G111" s="11"/>
      <c r="H111" s="11"/>
      <c r="I111" s="11"/>
      <c r="J111" s="11"/>
      <c r="K111" s="11"/>
      <c r="L111" s="11"/>
      <c r="M111" s="11"/>
      <c r="N111" s="11"/>
    </row>
    <row r="112" ht="15" customHeight="1">
      <c r="A112" s="11"/>
      <c r="B112" s="11"/>
      <c r="C112" s="11"/>
      <c r="D112" s="11"/>
      <c r="E112" s="11"/>
      <c r="F112" s="11"/>
      <c r="G112" s="11"/>
      <c r="H112" s="11"/>
      <c r="I112" s="11"/>
      <c r="J112" s="11"/>
      <c r="K112" s="11"/>
      <c r="L112" s="11"/>
      <c r="M112" s="11"/>
      <c r="N112" s="11"/>
    </row>
    <row r="113" ht="15" customHeight="1">
      <c r="A113" s="11"/>
      <c r="B113" s="11"/>
      <c r="C113" s="11"/>
      <c r="D113" s="11"/>
      <c r="E113" s="11"/>
      <c r="F113" s="11"/>
      <c r="G113" s="11"/>
      <c r="H113" s="11"/>
      <c r="I113" s="11"/>
      <c r="J113" s="11"/>
      <c r="K113" s="11"/>
      <c r="L113" s="11"/>
      <c r="M113" s="11"/>
      <c r="N113" s="11"/>
    </row>
    <row r="114" ht="15" customHeight="1">
      <c r="A114" s="11"/>
      <c r="B114" s="11"/>
      <c r="C114" s="11"/>
      <c r="D114" s="11"/>
      <c r="E114" s="11"/>
      <c r="F114" s="11"/>
      <c r="G114" s="11"/>
      <c r="H114" s="11"/>
      <c r="I114" s="11"/>
      <c r="J114" s="11"/>
      <c r="K114" s="11"/>
      <c r="L114" s="11"/>
      <c r="M114" s="11"/>
      <c r="N114" s="11"/>
    </row>
    <row r="115" ht="15" customHeight="1">
      <c r="A115" s="11"/>
      <c r="B115" s="11"/>
      <c r="C115" s="11"/>
      <c r="D115" s="11"/>
      <c r="E115" s="11"/>
      <c r="F115" s="11"/>
      <c r="G115" s="11"/>
      <c r="H115" s="11"/>
      <c r="I115" s="11"/>
      <c r="J115" s="11"/>
      <c r="K115" s="11"/>
      <c r="L115" s="11"/>
      <c r="M115" s="11"/>
      <c r="N115" s="11"/>
    </row>
    <row r="116" ht="15" customHeight="1">
      <c r="A116" s="11"/>
      <c r="B116" s="11"/>
      <c r="C116" s="11"/>
      <c r="D116" s="11"/>
      <c r="E116" s="11"/>
      <c r="F116" s="11"/>
      <c r="G116" s="11"/>
      <c r="H116" s="11"/>
      <c r="I116" s="11"/>
      <c r="J116" s="11"/>
      <c r="K116" s="11"/>
      <c r="L116" s="11"/>
      <c r="M116" s="11"/>
      <c r="N116" s="11"/>
    </row>
    <row r="117" ht="15" customHeight="1">
      <c r="A117" s="11"/>
      <c r="B117" s="11"/>
      <c r="C117" s="11"/>
      <c r="D117" s="11"/>
      <c r="E117" s="11"/>
      <c r="F117" s="11"/>
      <c r="G117" s="11"/>
      <c r="H117" s="11"/>
      <c r="I117" s="11"/>
      <c r="J117" s="11"/>
      <c r="K117" s="11"/>
      <c r="L117" s="11"/>
      <c r="M117" s="11"/>
      <c r="N117" s="11"/>
    </row>
    <row r="118" ht="15" customHeight="1">
      <c r="A118" s="11"/>
      <c r="B118" s="11"/>
      <c r="C118" s="11"/>
      <c r="D118" s="11"/>
      <c r="E118" s="11"/>
      <c r="F118" s="11"/>
      <c r="G118" s="11"/>
      <c r="H118" s="11"/>
      <c r="I118" s="11"/>
      <c r="J118" s="11"/>
      <c r="K118" s="11"/>
      <c r="L118" s="11"/>
      <c r="M118" s="11"/>
      <c r="N118" s="11"/>
    </row>
    <row r="119" ht="15" customHeight="1">
      <c r="A119" s="11"/>
      <c r="B119" s="11"/>
      <c r="C119" s="11"/>
      <c r="D119" s="11"/>
      <c r="E119" s="11"/>
      <c r="F119" s="11"/>
      <c r="G119" s="11"/>
      <c r="H119" s="11"/>
      <c r="I119" s="11"/>
      <c r="J119" s="11"/>
      <c r="K119" s="11"/>
      <c r="L119" s="11"/>
      <c r="M119" s="11"/>
      <c r="N119" s="11"/>
    </row>
    <row r="120" ht="15" customHeight="1">
      <c r="A120" s="11"/>
      <c r="B120" s="11"/>
      <c r="C120" s="11"/>
      <c r="D120" s="11"/>
      <c r="E120" s="11"/>
      <c r="F120" s="11"/>
      <c r="G120" s="11"/>
      <c r="H120" s="11"/>
      <c r="I120" s="11"/>
      <c r="J120" s="11"/>
      <c r="K120" s="11"/>
      <c r="L120" s="11"/>
      <c r="M120" s="11"/>
      <c r="N120" s="11"/>
    </row>
    <row r="121" ht="15" customHeight="1">
      <c r="A121" s="11"/>
      <c r="B121" s="11"/>
      <c r="C121" s="11"/>
      <c r="D121" s="11"/>
      <c r="E121" s="11"/>
      <c r="F121" s="11"/>
      <c r="G121" s="11"/>
      <c r="H121" s="11"/>
      <c r="I121" s="11"/>
      <c r="J121" s="11"/>
      <c r="K121" s="11"/>
      <c r="L121" s="11"/>
      <c r="M121" s="11"/>
      <c r="N121" s="11"/>
    </row>
    <row r="122" ht="15" customHeight="1">
      <c r="A122" s="11"/>
      <c r="B122" s="11"/>
      <c r="C122" s="11"/>
      <c r="D122" s="11"/>
      <c r="E122" s="11"/>
      <c r="F122" s="11"/>
      <c r="G122" s="11"/>
      <c r="H122" s="11"/>
      <c r="I122" s="11"/>
      <c r="J122" s="11"/>
      <c r="K122" s="11"/>
      <c r="L122" s="11"/>
      <c r="M122" s="11"/>
      <c r="N122" s="11"/>
    </row>
    <row r="123" ht="15" customHeight="1">
      <c r="A123" s="11"/>
      <c r="B123" s="11"/>
      <c r="C123" s="11"/>
      <c r="D123" s="11"/>
      <c r="E123" s="11"/>
      <c r="F123" s="11"/>
      <c r="G123" s="11"/>
      <c r="H123" s="11"/>
      <c r="I123" s="11"/>
      <c r="J123" s="11"/>
      <c r="K123" s="11"/>
      <c r="L123" s="11"/>
      <c r="M123" s="11"/>
      <c r="N123" s="11"/>
    </row>
    <row r="124" ht="15" customHeight="1">
      <c r="A124" s="11"/>
      <c r="B124" s="11"/>
      <c r="C124" s="11"/>
      <c r="D124" s="11"/>
      <c r="E124" s="11"/>
      <c r="F124" s="11"/>
      <c r="G124" s="11"/>
      <c r="H124" s="11"/>
      <c r="I124" s="11"/>
      <c r="J124" s="11"/>
      <c r="K124" s="11"/>
      <c r="L124" s="11"/>
      <c r="M124" s="11"/>
      <c r="N124" s="11"/>
    </row>
    <row r="125" ht="15" customHeight="1">
      <c r="A125" s="11"/>
      <c r="B125" s="11"/>
      <c r="C125" s="11"/>
      <c r="D125" s="11"/>
      <c r="E125" s="11"/>
      <c r="F125" s="11"/>
      <c r="G125" s="11"/>
      <c r="H125" s="11"/>
      <c r="I125" s="11"/>
      <c r="J125" s="11"/>
      <c r="K125" s="11"/>
      <c r="L125" s="11"/>
      <c r="M125" s="11"/>
      <c r="N125" s="11"/>
    </row>
    <row r="126" ht="15" customHeight="1">
      <c r="A126" s="11"/>
      <c r="B126" s="11"/>
      <c r="C126" s="11"/>
      <c r="D126" s="11"/>
      <c r="E126" s="11"/>
      <c r="F126" s="11"/>
      <c r="G126" s="11"/>
      <c r="H126" s="11"/>
      <c r="I126" s="11"/>
      <c r="J126" s="11"/>
      <c r="K126" s="11"/>
      <c r="L126" s="11"/>
      <c r="M126" s="11"/>
      <c r="N126" s="11"/>
    </row>
    <row r="127" ht="15" customHeight="1">
      <c r="A127" s="11"/>
      <c r="B127" s="11"/>
      <c r="C127" s="11"/>
      <c r="D127" s="11"/>
      <c r="E127" s="11"/>
      <c r="F127" s="11"/>
      <c r="G127" s="11"/>
      <c r="H127" s="11"/>
      <c r="I127" s="11"/>
      <c r="J127" s="11"/>
      <c r="K127" s="11"/>
      <c r="L127" s="11"/>
      <c r="M127" s="11"/>
      <c r="N127" s="11"/>
    </row>
    <row r="128" ht="15" customHeight="1">
      <c r="A128" s="11"/>
      <c r="B128" s="11"/>
      <c r="C128" s="11"/>
      <c r="D128" s="11"/>
      <c r="E128" s="11"/>
      <c r="F128" s="11"/>
      <c r="G128" s="11"/>
      <c r="H128" s="11"/>
      <c r="I128" s="11"/>
      <c r="J128" s="11"/>
      <c r="K128" s="11"/>
      <c r="L128" s="11"/>
      <c r="M128" s="11"/>
      <c r="N128" s="11"/>
    </row>
    <row r="129" ht="15" customHeight="1">
      <c r="A129" s="11"/>
      <c r="B129" s="11"/>
      <c r="C129" s="11"/>
      <c r="D129" s="11"/>
      <c r="E129" s="11"/>
      <c r="F129" s="11"/>
      <c r="G129" s="11"/>
      <c r="H129" s="11"/>
      <c r="I129" s="11"/>
      <c r="J129" s="11"/>
      <c r="K129" s="11"/>
      <c r="L129" s="11"/>
      <c r="M129" s="11"/>
      <c r="N129" s="11"/>
    </row>
    <row r="130" ht="15" customHeight="1">
      <c r="A130" s="11"/>
      <c r="B130" s="11"/>
      <c r="C130" s="11"/>
      <c r="D130" s="11"/>
      <c r="E130" s="11"/>
      <c r="F130" s="11"/>
      <c r="G130" s="11"/>
      <c r="H130" s="11"/>
      <c r="I130" s="11"/>
      <c r="J130" s="11"/>
      <c r="K130" s="11"/>
      <c r="L130" s="11"/>
      <c r="M130" s="11"/>
      <c r="N130" s="11"/>
    </row>
    <row r="131" ht="15" customHeight="1">
      <c r="A131" s="11"/>
      <c r="B131" s="11"/>
      <c r="C131" s="11"/>
      <c r="D131" s="11"/>
      <c r="E131" s="11"/>
      <c r="F131" s="11"/>
      <c r="G131" s="11"/>
      <c r="H131" s="11"/>
      <c r="I131" s="11"/>
      <c r="J131" s="11"/>
      <c r="K131" s="11"/>
      <c r="L131" s="11"/>
      <c r="M131" s="11"/>
      <c r="N131" s="11"/>
    </row>
    <row r="132" ht="15" customHeight="1">
      <c r="A132" s="11"/>
      <c r="B132" s="11"/>
      <c r="C132" s="11"/>
      <c r="D132" s="11"/>
      <c r="E132" s="11"/>
      <c r="F132" s="11"/>
      <c r="G132" s="11"/>
      <c r="H132" s="11"/>
      <c r="I132" s="11"/>
      <c r="J132" s="11"/>
      <c r="K132" s="11"/>
      <c r="L132" s="11"/>
      <c r="M132" s="11"/>
      <c r="N132" s="11"/>
    </row>
    <row r="133" ht="15" customHeight="1">
      <c r="A133" s="11"/>
      <c r="B133" s="11"/>
      <c r="C133" s="11"/>
      <c r="D133" s="11"/>
      <c r="E133" s="11"/>
      <c r="F133" s="11"/>
      <c r="G133" s="11"/>
      <c r="H133" s="11"/>
      <c r="I133" s="11"/>
      <c r="J133" s="11"/>
      <c r="K133" s="11"/>
      <c r="L133" s="11"/>
      <c r="M133" s="11"/>
      <c r="N133" s="11"/>
    </row>
    <row r="134" ht="15" customHeight="1">
      <c r="A134" s="11"/>
      <c r="B134" s="11"/>
      <c r="C134" s="11"/>
      <c r="D134" s="11"/>
      <c r="E134" s="11"/>
      <c r="F134" s="11"/>
      <c r="G134" s="11"/>
      <c r="H134" s="11"/>
      <c r="I134" s="11"/>
      <c r="J134" s="11"/>
      <c r="K134" s="11"/>
      <c r="L134" s="11"/>
      <c r="M134" s="11"/>
      <c r="N134" s="11"/>
    </row>
    <row r="135" ht="15" customHeight="1">
      <c r="A135" s="11"/>
      <c r="B135" s="11"/>
      <c r="C135" s="11"/>
      <c r="D135" s="11"/>
      <c r="E135" s="11"/>
      <c r="F135" s="11"/>
      <c r="G135" s="11"/>
      <c r="H135" s="11"/>
      <c r="I135" s="11"/>
      <c r="J135" s="11"/>
      <c r="K135" s="11"/>
      <c r="L135" s="11"/>
      <c r="M135" s="11"/>
      <c r="N135" s="11"/>
    </row>
    <row r="136" ht="15" customHeight="1">
      <c r="A136" s="11"/>
      <c r="B136" s="11"/>
      <c r="C136" s="11"/>
      <c r="D136" s="11"/>
      <c r="E136" s="11"/>
      <c r="F136" s="11"/>
      <c r="G136" s="11"/>
      <c r="H136" s="11"/>
      <c r="I136" s="11"/>
      <c r="J136" s="11"/>
      <c r="K136" s="11"/>
      <c r="L136" s="11"/>
      <c r="M136" s="11"/>
      <c r="N136" s="11"/>
    </row>
    <row r="137" ht="15" customHeight="1">
      <c r="A137" s="11"/>
      <c r="B137" s="11"/>
      <c r="C137" s="11"/>
      <c r="D137" s="11"/>
      <c r="E137" s="11"/>
      <c r="F137" s="11"/>
      <c r="G137" s="11"/>
      <c r="H137" s="11"/>
      <c r="I137" s="11"/>
      <c r="J137" s="11"/>
      <c r="K137" s="11"/>
      <c r="L137" s="11"/>
      <c r="M137" s="11"/>
      <c r="N137" s="11"/>
    </row>
    <row r="138" ht="15" customHeight="1">
      <c r="A138" s="11"/>
      <c r="B138" s="11"/>
      <c r="C138" s="11"/>
      <c r="D138" s="11"/>
      <c r="E138" s="11"/>
      <c r="F138" s="11"/>
      <c r="G138" s="11"/>
      <c r="H138" s="11"/>
      <c r="I138" s="11"/>
      <c r="J138" s="11"/>
      <c r="K138" s="11"/>
      <c r="L138" s="11"/>
      <c r="M138" s="11"/>
      <c r="N138" s="11"/>
    </row>
    <row r="139" ht="15" customHeight="1">
      <c r="A139" s="11"/>
      <c r="B139" s="11"/>
      <c r="C139" s="11"/>
      <c r="D139" s="11"/>
      <c r="E139" s="11"/>
      <c r="F139" s="11"/>
      <c r="G139" s="11"/>
      <c r="H139" s="11"/>
      <c r="I139" s="11"/>
      <c r="J139" s="11"/>
      <c r="K139" s="11"/>
      <c r="L139" s="11"/>
      <c r="M139" s="11"/>
      <c r="N139" s="11"/>
    </row>
    <row r="140" ht="15" customHeight="1">
      <c r="A140" s="11"/>
      <c r="B140" s="11"/>
      <c r="C140" s="11"/>
      <c r="D140" s="11"/>
      <c r="E140" s="11"/>
      <c r="F140" s="11"/>
      <c r="G140" s="11"/>
      <c r="H140" s="11"/>
      <c r="I140" s="11"/>
      <c r="J140" s="11"/>
      <c r="K140" s="11"/>
      <c r="L140" s="11"/>
      <c r="M140" s="11"/>
      <c r="N140" s="11"/>
    </row>
    <row r="141" ht="15" customHeight="1">
      <c r="A141" s="11"/>
      <c r="B141" s="11"/>
      <c r="C141" s="11"/>
      <c r="D141" s="11"/>
      <c r="E141" s="11"/>
      <c r="F141" s="11"/>
      <c r="G141" s="11"/>
      <c r="H141" s="11"/>
      <c r="I141" s="11"/>
      <c r="J141" s="11"/>
      <c r="K141" s="11"/>
      <c r="L141" s="11"/>
      <c r="M141" s="11"/>
      <c r="N141" s="11"/>
    </row>
    <row r="142" ht="15" customHeight="1">
      <c r="A142" s="11"/>
      <c r="B142" s="11"/>
      <c r="C142" s="11"/>
      <c r="D142" s="11"/>
      <c r="E142" s="11"/>
      <c r="F142" s="11"/>
      <c r="G142" s="11"/>
      <c r="H142" s="11"/>
      <c r="I142" s="11"/>
      <c r="J142" s="11"/>
      <c r="K142" s="11"/>
      <c r="L142" s="11"/>
      <c r="M142" s="11"/>
      <c r="N142" s="11"/>
    </row>
    <row r="143" ht="15" customHeight="1">
      <c r="A143" s="11"/>
      <c r="B143" s="11"/>
      <c r="C143" s="11"/>
      <c r="D143" s="11"/>
      <c r="E143" s="11"/>
      <c r="F143" s="11"/>
      <c r="G143" s="11"/>
      <c r="H143" s="11"/>
      <c r="I143" s="11"/>
      <c r="J143" s="11"/>
      <c r="K143" s="11"/>
      <c r="L143" s="11"/>
      <c r="M143" s="11"/>
      <c r="N143" s="11"/>
    </row>
    <row r="144" ht="15" customHeight="1">
      <c r="A144" s="11"/>
      <c r="B144" s="11"/>
      <c r="C144" s="11"/>
      <c r="D144" s="11"/>
      <c r="E144" s="11"/>
      <c r="F144" s="11"/>
      <c r="G144" s="11"/>
      <c r="H144" s="11"/>
      <c r="I144" s="11"/>
      <c r="J144" s="11"/>
      <c r="K144" s="11"/>
      <c r="L144" s="11"/>
      <c r="M144" s="11"/>
      <c r="N144" s="11"/>
    </row>
    <row r="145" ht="15" customHeight="1">
      <c r="A145" s="11"/>
      <c r="B145" s="11"/>
      <c r="C145" s="11"/>
      <c r="D145" s="11"/>
      <c r="E145" s="11"/>
      <c r="F145" s="11"/>
      <c r="G145" s="11"/>
      <c r="H145" s="11"/>
      <c r="I145" s="11"/>
      <c r="J145" s="11"/>
      <c r="K145" s="11"/>
      <c r="L145" s="11"/>
      <c r="M145" s="11"/>
      <c r="N145" s="11"/>
    </row>
    <row r="146" ht="15" customHeight="1">
      <c r="A146" s="11"/>
      <c r="B146" s="11"/>
      <c r="C146" s="11"/>
      <c r="D146" s="11"/>
      <c r="E146" s="11"/>
      <c r="F146" s="11"/>
      <c r="G146" s="11"/>
      <c r="H146" s="11"/>
      <c r="I146" s="11"/>
      <c r="J146" s="11"/>
      <c r="K146" s="11"/>
      <c r="L146" s="11"/>
      <c r="M146" s="11"/>
      <c r="N146" s="11"/>
    </row>
    <row r="147" ht="15" customHeight="1">
      <c r="A147" s="11"/>
      <c r="B147" s="11"/>
      <c r="C147" s="11"/>
      <c r="D147" s="11"/>
      <c r="E147" s="11"/>
      <c r="F147" s="11"/>
      <c r="G147" s="11"/>
      <c r="H147" s="11"/>
      <c r="I147" s="11"/>
      <c r="J147" s="11"/>
      <c r="K147" s="11"/>
      <c r="L147" s="11"/>
      <c r="M147" s="11"/>
      <c r="N147" s="11"/>
    </row>
    <row r="148" ht="15" customHeight="1">
      <c r="A148" s="11"/>
      <c r="B148" s="11"/>
      <c r="C148" s="11"/>
      <c r="D148" s="11"/>
      <c r="E148" s="11"/>
      <c r="F148" s="11"/>
      <c r="G148" s="11"/>
      <c r="H148" s="11"/>
      <c r="I148" s="11"/>
      <c r="J148" s="11"/>
      <c r="K148" s="11"/>
      <c r="L148" s="11"/>
      <c r="M148" s="11"/>
      <c r="N148" s="11"/>
    </row>
  </sheetData>
  <mergeCells count="4">
    <mergeCell ref="A1:M1"/>
    <mergeCell ref="A2:M2"/>
    <mergeCell ref="A21:M21"/>
    <mergeCell ref="A22:M22"/>
  </mergeCells>
  <pageMargins left="0.75" right="0.75" top="1" bottom="1" header="0.5" footer="0.5"/>
  <pageSetup firstPageNumber="1" fitToHeight="1" fitToWidth="1" scale="100" useFirstPageNumber="0" orientation="portrait" pageOrder="downThenOver"/>
  <headerFooter>
    <oddFooter>&amp;C&amp;"Helvetica,Regular"&amp;12&amp;K000000&amp;P</oddFooter>
  </headerFooter>
  <drawing r:id="rId1"/>
</worksheet>
</file>

<file path=xl/worksheets/sheet5.xml><?xml version="1.0" encoding="utf-8"?>
<worksheet xmlns:r="http://schemas.openxmlformats.org/officeDocument/2006/relationships" xmlns="http://schemas.openxmlformats.org/spreadsheetml/2006/main">
  <dimension ref="A1:O180"/>
  <sheetViews>
    <sheetView workbookViewId="0" showGridLines="0" defaultGridColor="1"/>
  </sheetViews>
  <sheetFormatPr defaultColWidth="12.5" defaultRowHeight="15" customHeight="1" outlineLevelRow="0" outlineLevelCol="0"/>
  <cols>
    <col min="1" max="1" width="27.1719" style="90" customWidth="1"/>
    <col min="2" max="2" width="15.1719" style="90" customWidth="1"/>
    <col min="3" max="3" width="14.6719" style="90" customWidth="1"/>
    <col min="4" max="4" width="17.3516" style="90" customWidth="1"/>
    <col min="5" max="5" width="15" style="90" customWidth="1"/>
    <col min="6" max="7" width="14.6719" style="90" customWidth="1"/>
    <col min="8" max="12" width="16.5" style="90" customWidth="1"/>
    <col min="13" max="13" width="19" style="90" customWidth="1"/>
    <col min="14" max="15" width="15.9375" style="90" customWidth="1"/>
    <col min="16" max="16384" width="12.5" style="90" customWidth="1"/>
  </cols>
  <sheetData>
    <row r="1" ht="23" customHeight="1">
      <c r="A1" t="s" s="7">
        <v>6</v>
      </c>
      <c r="B1" s="8"/>
      <c r="C1" s="8"/>
      <c r="D1" s="9"/>
      <c r="E1" s="9"/>
      <c r="F1" s="9"/>
      <c r="G1" s="9"/>
      <c r="H1" s="9"/>
      <c r="I1" s="9"/>
      <c r="J1" s="9"/>
      <c r="K1" s="9"/>
      <c r="L1" s="9"/>
      <c r="M1" s="9"/>
      <c r="N1" s="10"/>
      <c r="O1" s="10"/>
    </row>
    <row r="2" ht="23" customHeight="1">
      <c r="A2" t="s" s="7">
        <v>115</v>
      </c>
      <c r="B2" s="8"/>
      <c r="C2" s="8"/>
      <c r="D2" s="12"/>
      <c r="E2" s="12"/>
      <c r="F2" s="12"/>
      <c r="G2" s="12"/>
      <c r="H2" s="12"/>
      <c r="I2" s="12"/>
      <c r="J2" s="12"/>
      <c r="K2" s="12"/>
      <c r="L2" s="12"/>
      <c r="M2" s="12"/>
      <c r="N2" s="10"/>
      <c r="O2" s="10"/>
    </row>
    <row r="3" ht="15" customHeight="1">
      <c r="A3" s="13"/>
      <c r="B3" s="13"/>
      <c r="C3" s="13"/>
      <c r="D3" s="13"/>
      <c r="E3" s="13"/>
      <c r="F3" s="13"/>
      <c r="G3" s="13"/>
      <c r="H3" s="13"/>
      <c r="I3" s="13"/>
      <c r="J3" s="13"/>
      <c r="K3" s="13"/>
      <c r="L3" s="13"/>
      <c r="M3" s="13"/>
      <c r="N3" s="72"/>
      <c r="O3" s="72"/>
    </row>
    <row r="4" ht="15" customHeight="1">
      <c r="A4" t="s" s="14">
        <v>8</v>
      </c>
      <c r="B4" t="s" s="14">
        <v>9</v>
      </c>
      <c r="C4" t="s" s="14">
        <v>10</v>
      </c>
      <c r="D4" t="s" s="14">
        <v>11</v>
      </c>
      <c r="E4" t="s" s="14">
        <v>12</v>
      </c>
      <c r="F4" t="s" s="14">
        <v>13</v>
      </c>
      <c r="G4" t="s" s="14">
        <v>14</v>
      </c>
      <c r="H4" t="s" s="14">
        <v>15</v>
      </c>
      <c r="I4" t="s" s="14">
        <v>16</v>
      </c>
      <c r="J4" t="s" s="14">
        <v>17</v>
      </c>
      <c r="K4" t="s" s="14">
        <v>18</v>
      </c>
      <c r="L4" t="s" s="14">
        <v>19</v>
      </c>
      <c r="M4" t="s" s="14">
        <v>20</v>
      </c>
      <c r="N4" t="s" s="73">
        <v>116</v>
      </c>
      <c r="O4" s="91"/>
    </row>
    <row r="5" ht="15" customHeight="1">
      <c r="A5" s="17">
        <v>1</v>
      </c>
      <c r="B5" s="18">
        <v>38060200</v>
      </c>
      <c r="C5" s="18">
        <v>65565550</v>
      </c>
      <c r="D5" s="92">
        <v>60463134</v>
      </c>
      <c r="E5" s="18">
        <v>49262556</v>
      </c>
      <c r="F5" s="18">
        <v>55101750</v>
      </c>
      <c r="G5" s="18">
        <v>51216200</v>
      </c>
      <c r="H5" s="74">
        <v>34870000</v>
      </c>
      <c r="I5" s="18">
        <v>51659048</v>
      </c>
      <c r="J5" s="18">
        <v>57878350</v>
      </c>
      <c r="K5" s="18">
        <v>64292524</v>
      </c>
      <c r="L5" s="18">
        <v>46615424</v>
      </c>
      <c r="M5" s="18">
        <v>57448500</v>
      </c>
      <c r="N5" s="93"/>
      <c r="O5" s="75"/>
    </row>
    <row r="6" ht="15" customHeight="1">
      <c r="A6" s="17">
        <v>2</v>
      </c>
      <c r="B6" s="18">
        <v>55112593</v>
      </c>
      <c r="C6" s="18">
        <v>34010429</v>
      </c>
      <c r="D6" s="92">
        <v>39676850</v>
      </c>
      <c r="E6" s="18">
        <v>60751200</v>
      </c>
      <c r="F6" s="18">
        <v>39370581</v>
      </c>
      <c r="G6" s="18">
        <v>66482562</v>
      </c>
      <c r="H6" s="74">
        <v>54380150</v>
      </c>
      <c r="I6" s="18">
        <v>51164106</v>
      </c>
      <c r="J6" s="18">
        <v>103347525</v>
      </c>
      <c r="K6" s="18">
        <v>32103800</v>
      </c>
      <c r="L6" s="18">
        <v>39111550</v>
      </c>
      <c r="M6" s="18">
        <v>72447424</v>
      </c>
      <c r="N6" s="94"/>
      <c r="O6" s="19"/>
    </row>
    <row r="7" ht="15" customHeight="1">
      <c r="A7" s="17">
        <v>3</v>
      </c>
      <c r="B7" s="18">
        <v>42569700</v>
      </c>
      <c r="C7" s="18">
        <v>35706550</v>
      </c>
      <c r="D7" s="18">
        <v>43588760</v>
      </c>
      <c r="E7" s="18">
        <v>60566850</v>
      </c>
      <c r="F7" s="18">
        <v>34404300</v>
      </c>
      <c r="G7" s="18">
        <v>38717919</v>
      </c>
      <c r="H7" s="74">
        <v>42338212</v>
      </c>
      <c r="I7" s="18">
        <v>31526300</v>
      </c>
      <c r="J7" s="18">
        <v>48000450</v>
      </c>
      <c r="K7" s="18">
        <v>40353800</v>
      </c>
      <c r="L7" s="18">
        <v>43706633</v>
      </c>
      <c r="M7" s="18">
        <v>60695950</v>
      </c>
      <c r="N7" s="94"/>
      <c r="O7" s="19"/>
    </row>
    <row r="8" ht="15" customHeight="1">
      <c r="A8" s="17">
        <v>4</v>
      </c>
      <c r="B8" s="18">
        <v>38403200</v>
      </c>
      <c r="C8" s="18">
        <v>33723400</v>
      </c>
      <c r="D8" s="18">
        <v>31730200</v>
      </c>
      <c r="E8" s="18">
        <v>27554100</v>
      </c>
      <c r="F8" s="18">
        <v>33814847</v>
      </c>
      <c r="G8" s="18">
        <v>34935550</v>
      </c>
      <c r="H8" s="74">
        <v>31961150</v>
      </c>
      <c r="I8" s="18">
        <v>44362200</v>
      </c>
      <c r="J8" s="18">
        <v>45574135</v>
      </c>
      <c r="K8" s="18">
        <v>37458490</v>
      </c>
      <c r="L8" s="18">
        <v>36984915</v>
      </c>
      <c r="M8" s="18">
        <v>77681618</v>
      </c>
      <c r="N8" s="94"/>
      <c r="O8" s="19"/>
    </row>
    <row r="9" ht="15" customHeight="1">
      <c r="A9" s="17">
        <v>5</v>
      </c>
      <c r="B9" s="18"/>
      <c r="C9" s="18"/>
      <c r="D9" s="18"/>
      <c r="E9" s="18">
        <v>48179511</v>
      </c>
      <c r="F9" s="18"/>
      <c r="G9" s="18" cm="1">
        <f t="array" ref="G9">6579350</f>
        <v>6579350</v>
      </c>
      <c r="H9" s="74">
        <v>41065200</v>
      </c>
      <c r="I9" s="18"/>
      <c r="J9" s="18">
        <v>43562350</v>
      </c>
      <c r="K9" s="18"/>
      <c r="L9" s="18"/>
      <c r="M9" s="18">
        <v>67011200</v>
      </c>
      <c r="N9" s="94"/>
      <c r="O9" s="19"/>
    </row>
    <row r="10" ht="15" customHeight="1">
      <c r="A10" t="s" s="20">
        <v>22</v>
      </c>
      <c r="B10" s="18" cm="1">
        <f t="array" ref="B10">SUM(B5:B9)</f>
        <v>174145693</v>
      </c>
      <c r="C10" s="18" cm="1">
        <f t="array" ref="C10">SUM(C5:C9)</f>
        <v>169005929</v>
      </c>
      <c r="D10" s="18" cm="1">
        <f t="array" ref="D10">SUM(D5:D9)</f>
        <v>175458944</v>
      </c>
      <c r="E10" s="18" cm="1">
        <f t="array" ref="E10">SUM(E5:E9)</f>
        <v>246314217</v>
      </c>
      <c r="F10" s="18" cm="1">
        <f t="array" ref="F10">SUM(F5:F9)</f>
        <v>162691478</v>
      </c>
      <c r="G10" s="18" cm="1">
        <f t="array" ref="G10">SUM(G5:G9)</f>
        <v>197931581</v>
      </c>
      <c r="H10" s="74" cm="1">
        <f t="array" ref="H10">SUM(H5:H9)</f>
        <v>204614712</v>
      </c>
      <c r="I10" s="18" cm="1">
        <f t="array" ref="I10">SUM(I5:I9)</f>
        <v>178711654</v>
      </c>
      <c r="J10" s="18" cm="1">
        <f t="array" ref="J10">SUM(J5:J9)</f>
        <v>298362810</v>
      </c>
      <c r="K10" s="18" cm="1">
        <f t="array" ref="K10">SUM(K5:K9)</f>
        <v>174208614</v>
      </c>
      <c r="L10" s="18" cm="1">
        <f t="array" ref="L10">SUM(L5:L9)</f>
        <v>166418522</v>
      </c>
      <c r="M10" s="18" cm="1">
        <f t="array" ref="M10">SUM(M5:M9)</f>
        <v>335284692</v>
      </c>
      <c r="N10" s="95"/>
      <c r="O10" s="61"/>
    </row>
    <row r="11" ht="15" customHeight="1">
      <c r="A11" t="s" s="20">
        <v>23</v>
      </c>
      <c r="B11" s="18" cm="1">
        <f t="array" ref="B11">AVERAGE(B5:B9)</f>
        <v>43536423.25</v>
      </c>
      <c r="C11" s="18" cm="1">
        <f t="array" ref="C11">AVERAGE(C5:C9)</f>
        <v>42251482.25</v>
      </c>
      <c r="D11" s="18" cm="1">
        <f t="array" ref="D11">AVERAGE(D5:D9)</f>
        <v>43864736</v>
      </c>
      <c r="E11" s="18" cm="1">
        <f t="array" ref="E11">AVERAGE(E5:E9)</f>
        <v>49262843.4</v>
      </c>
      <c r="F11" s="18" cm="1">
        <f t="array" ref="F11">AVERAGE(F5:F9)</f>
        <v>40672869.5</v>
      </c>
      <c r="G11" s="18" cm="1">
        <f t="array" ref="G11">AVERAGE(G5:G9)</f>
        <v>39586316.2</v>
      </c>
      <c r="H11" s="74" cm="1">
        <f t="array" ref="H11">AVERAGE(H5:H9)</f>
        <v>40922942.4</v>
      </c>
      <c r="I11" s="18" cm="1">
        <f t="array" ref="I11">AVERAGE(I5:I9)</f>
        <v>44677913.5</v>
      </c>
      <c r="J11" s="18" cm="1">
        <f t="array" ref="J11">AVERAGE(J5:J9)</f>
        <v>59672562</v>
      </c>
      <c r="K11" s="18" cm="1">
        <f t="array" ref="K11">AVERAGE(K5:K9)</f>
        <v>43552153.5</v>
      </c>
      <c r="L11" s="18" cm="1">
        <f t="array" ref="L11">AVERAGE(L5:L9)</f>
        <v>41604630.5</v>
      </c>
      <c r="M11" s="18" cm="1">
        <f t="array" ref="M11">AVERAGE(M5:M9)</f>
        <v>67056938.4</v>
      </c>
      <c r="N11" s="96"/>
      <c r="O11" s="21"/>
    </row>
    <row r="12" ht="15" customHeight="1">
      <c r="A12" t="s" s="22">
        <v>24</v>
      </c>
      <c r="B12" s="23"/>
      <c r="C12" s="24" cm="1">
        <f t="array" ref="C12">C10/B10-1</f>
        <v>-0.0295141608813719</v>
      </c>
      <c r="D12" s="24" cm="1">
        <f t="array" ref="D12">D10/C10-1</f>
        <v>0.0381821811706973</v>
      </c>
      <c r="E12" s="24" cm="1">
        <f t="array" ref="E12">E10/D10-1</f>
        <v>0.403828219780007</v>
      </c>
      <c r="F12" s="24" cm="1">
        <f t="array" ref="F12">F10/E10-1</f>
        <v>-0.339496193189693</v>
      </c>
      <c r="G12" s="24" cm="1">
        <f t="array" ref="G12">G10/F10-1</f>
        <v>0.216606938686733</v>
      </c>
      <c r="H12" s="24" cm="1">
        <f t="array" ref="H12">H10/G10-1</f>
        <v>0.033764854331154</v>
      </c>
      <c r="I12" s="24" cm="1">
        <f t="array" ref="I12">I10/H10-1</f>
        <v>-0.126594308624299</v>
      </c>
      <c r="J12" s="24" cm="1">
        <f t="array" ref="J12">J10/I10-1</f>
        <v>0.669520724149305</v>
      </c>
      <c r="K12" s="24" cm="1">
        <f t="array" ref="K12">K10/J10-1</f>
        <v>-0.416118201863027</v>
      </c>
      <c r="L12" s="24" cm="1">
        <f t="array" ref="L12">L10/K10-1</f>
        <v>-0.0447170310418749</v>
      </c>
      <c r="M12" s="24" cm="1">
        <f t="array" ref="M12">M10/L10-1</f>
        <v>1.01470778595185</v>
      </c>
      <c r="N12" s="10"/>
      <c r="O12" s="10"/>
    </row>
    <row r="13" ht="15" customHeight="1">
      <c r="A13" t="s" s="25">
        <v>117</v>
      </c>
      <c r="B13" s="26" cm="1">
        <f t="array" ref="B13">B10</f>
        <v>174145693</v>
      </c>
      <c r="C13" s="26" cm="1">
        <f t="array" ref="C13">C10+B13</f>
        <v>343151622</v>
      </c>
      <c r="D13" s="26" cm="1">
        <f t="array" ref="D13">D10+C13</f>
        <v>518610566</v>
      </c>
      <c r="E13" s="26" cm="1">
        <f t="array" ref="E13">E10+D13</f>
        <v>764924783</v>
      </c>
      <c r="F13" s="26" cm="1">
        <f t="array" ref="F13">F10+E13</f>
        <v>927616261</v>
      </c>
      <c r="G13" s="26" cm="1">
        <f t="array" ref="G13">G10+F13</f>
        <v>1125547842</v>
      </c>
      <c r="H13" s="26" cm="1">
        <f t="array" ref="H13">H10+G13</f>
        <v>1330162554</v>
      </c>
      <c r="I13" s="26" cm="1">
        <f t="array" ref="I13">I10+H13</f>
        <v>1508874208</v>
      </c>
      <c r="J13" s="26" cm="1">
        <f t="array" ref="J13">J10+I13</f>
        <v>1807237018</v>
      </c>
      <c r="K13" s="26" cm="1">
        <f t="array" ref="K13">K10+J13</f>
        <v>1981445632</v>
      </c>
      <c r="L13" s="26" cm="1">
        <f t="array" ref="L13">L10+K13</f>
        <v>2147864154</v>
      </c>
      <c r="M13" s="26" cm="1">
        <f t="array" ref="M13">M10+L13</f>
        <v>2483148846</v>
      </c>
      <c r="N13" s="76">
        <v>2500000000</v>
      </c>
      <c r="O13" s="76"/>
    </row>
    <row r="14" ht="15" customHeight="1">
      <c r="A14" t="s" s="25">
        <v>118</v>
      </c>
      <c r="B14" s="26">
        <v>166008156</v>
      </c>
      <c r="C14" s="26">
        <v>322067112</v>
      </c>
      <c r="D14" s="26">
        <v>512286456</v>
      </c>
      <c r="E14" s="26">
        <v>706693862</v>
      </c>
      <c r="F14" s="26">
        <v>885019685</v>
      </c>
      <c r="G14" s="26">
        <v>1084219699</v>
      </c>
      <c r="H14" s="26">
        <v>1337414717</v>
      </c>
      <c r="I14" s="26">
        <v>1482865979</v>
      </c>
      <c r="J14" s="26">
        <v>1642607399</v>
      </c>
      <c r="K14" s="26">
        <v>1835163698</v>
      </c>
      <c r="L14" s="26">
        <v>1994427433</v>
      </c>
      <c r="M14" s="26">
        <v>2224688192</v>
      </c>
      <c r="N14" s="57"/>
      <c r="O14" s="57"/>
    </row>
    <row r="15" ht="15" customHeight="1">
      <c r="A15" t="s" s="25">
        <v>119</v>
      </c>
      <c r="B15" s="28" cm="1">
        <f t="array" ref="B15">B13/B14-1</f>
        <v>0.0490188988063936</v>
      </c>
      <c r="C15" s="28" cm="1">
        <f t="array" ref="C15">C13/C14-1</f>
        <v>0.0654662001005554</v>
      </c>
      <c r="D15" s="28" cm="1">
        <f t="array" ref="D15">D13/D14-1</f>
        <v>0.0123448705815482</v>
      </c>
      <c r="E15" s="28" cm="1">
        <f t="array" ref="E15">E13/E14-1</f>
        <v>0.08239907565519509</v>
      </c>
      <c r="F15" s="28" cm="1">
        <f t="array" ref="F15">F13/F14-1</f>
        <v>0.0481306537266456</v>
      </c>
      <c r="G15" s="28" cm="1">
        <f t="array" ref="G15">G13/G14-1</f>
        <v>0.0381178676592188</v>
      </c>
      <c r="H15" s="28" cm="1">
        <f t="array" ref="H15">H13/H14-1</f>
        <v>-0.00542252370025326</v>
      </c>
      <c r="I15" s="28" cm="1">
        <f t="array" ref="I15">I13/I14-1</f>
        <v>0.0175391635982769</v>
      </c>
      <c r="J15" s="28" cm="1">
        <f t="array" ref="J15">J13/J14-1</f>
        <v>0.100224569242915</v>
      </c>
      <c r="K15" s="28" cm="1">
        <f t="array" ref="K15">K13/K14-1</f>
        <v>0.0797105643269977</v>
      </c>
      <c r="L15" s="28" cm="1">
        <f t="array" ref="L15">L13/L14-1</f>
        <v>0.0769327168595961</v>
      </c>
      <c r="M15" s="28" cm="1">
        <f t="array" ref="M15">M13/M14-1</f>
        <v>0.116178372739797</v>
      </c>
      <c r="N15" s="77"/>
      <c r="O15" s="77"/>
    </row>
    <row r="16" ht="15" customHeight="1">
      <c r="A16" s="11"/>
      <c r="B16" s="28"/>
      <c r="C16" s="28"/>
      <c r="D16" s="28"/>
      <c r="E16" s="28"/>
      <c r="F16" s="28"/>
      <c r="G16" s="28"/>
      <c r="H16" s="28"/>
      <c r="I16" s="28"/>
      <c r="J16" s="28"/>
      <c r="K16" s="28"/>
      <c r="L16" s="28"/>
      <c r="M16" s="28"/>
      <c r="N16" s="77"/>
      <c r="O16" s="77"/>
    </row>
    <row r="17" ht="15" customHeight="1">
      <c r="A17" s="64"/>
      <c r="B17" s="28"/>
      <c r="C17" s="28"/>
      <c r="D17" s="28"/>
      <c r="E17" s="28"/>
      <c r="F17" s="28"/>
      <c r="G17" s="28"/>
      <c r="H17" s="28"/>
      <c r="I17" s="28"/>
      <c r="J17" s="28"/>
      <c r="K17" s="28"/>
      <c r="L17" s="28"/>
      <c r="M17" s="28"/>
      <c r="N17" s="77"/>
      <c r="O17" s="77"/>
    </row>
    <row r="18" ht="15" customHeight="1">
      <c r="A18" s="13"/>
      <c r="B18" s="29"/>
      <c r="C18" s="29"/>
      <c r="D18" s="29"/>
      <c r="E18" s="29"/>
      <c r="F18" s="13"/>
      <c r="G18" s="13"/>
      <c r="H18" s="13"/>
      <c r="I18" s="13"/>
      <c r="J18" s="13"/>
      <c r="K18" s="13"/>
      <c r="L18" s="13"/>
      <c r="M18" s="13"/>
      <c r="N18" s="10"/>
      <c r="O18" s="10"/>
    </row>
    <row r="19" ht="15" customHeight="1">
      <c r="A19" t="s" s="33">
        <v>120</v>
      </c>
      <c r="B19" s="18" cm="1">
        <f t="array" ref="B19">95000+798000+194000+413000</f>
        <v>1500000</v>
      </c>
      <c r="C19" s="92" cm="1">
        <f t="array" ref="C19">460000+494000+423000</f>
        <v>1377000</v>
      </c>
      <c r="D19" s="18" cm="1">
        <f t="array" ref="D19">255000+158000+707000+615000</f>
        <v>1735000</v>
      </c>
      <c r="E19" s="18" cm="1">
        <f t="array" ref="E19">424000+340000+300000+547000+152000</f>
        <v>1763000</v>
      </c>
      <c r="F19" s="18" cm="1">
        <f t="array" ref="F19">354000+693000+217000+2245000</f>
        <v>3509000</v>
      </c>
      <c r="G19" s="18" cm="1">
        <f t="array" ref="G19">198000+244000+675000+590000</f>
        <v>1707000</v>
      </c>
      <c r="H19" s="18" cm="1">
        <f t="array" ref="H19">180000+221000+605000+75000+309000</f>
        <v>1390000</v>
      </c>
      <c r="I19" s="92" cm="1">
        <f t="array" ref="I19">205000+283000+359500+253000</f>
        <v>1100500</v>
      </c>
      <c r="J19" s="92" cm="1">
        <f t="array" ref="J19">393000+570000+2158000+213000+114000</f>
        <v>3448000</v>
      </c>
      <c r="K19" s="92" cm="1">
        <f t="array" ref="K19">189000+103000+195000+187000</f>
        <v>674000</v>
      </c>
      <c r="L19" s="18" cm="1">
        <f t="array" ref="L19">113000+175000+223000</f>
        <v>511000</v>
      </c>
      <c r="M19" s="92" cm="1">
        <f t="array" ref="M19">367000+140000+160000+184000+175000</f>
        <v>1026000</v>
      </c>
      <c r="N19" s="97" cm="1">
        <f t="array" ref="N19">SUM(B19:M19)</f>
        <v>19740500</v>
      </c>
      <c r="O19" s="98"/>
    </row>
    <row r="20" ht="15" customHeight="1">
      <c r="A20" t="s" s="33">
        <v>38</v>
      </c>
      <c r="B20" s="18"/>
      <c r="C20" s="18"/>
      <c r="D20" s="18"/>
      <c r="E20" s="18"/>
      <c r="F20" s="18"/>
      <c r="G20" s="18"/>
      <c r="H20" s="18"/>
      <c r="I20" s="18"/>
      <c r="J20" s="18"/>
      <c r="K20" s="18"/>
      <c r="L20" s="18"/>
      <c r="M20" s="18"/>
      <c r="N20" s="97" cm="1">
        <f t="array" ref="N20">SUM(B20:M20)</f>
        <v>0</v>
      </c>
      <c r="O20" s="98"/>
    </row>
    <row r="21" ht="15" customHeight="1">
      <c r="A21" t="s" s="33">
        <v>121</v>
      </c>
      <c r="B21" s="18"/>
      <c r="C21" s="18"/>
      <c r="D21" s="18"/>
      <c r="E21" s="18"/>
      <c r="F21" s="18"/>
      <c r="G21" s="18"/>
      <c r="H21" s="18"/>
      <c r="I21" s="18"/>
      <c r="J21" s="18"/>
      <c r="K21" s="18"/>
      <c r="L21" s="18"/>
      <c r="M21" s="18"/>
      <c r="N21" s="97">
        <v>49943378</v>
      </c>
      <c r="O21" s="98"/>
    </row>
    <row r="22" ht="15" customHeight="1">
      <c r="A22" t="s" s="33">
        <v>122</v>
      </c>
      <c r="B22" s="18"/>
      <c r="C22" s="18"/>
      <c r="D22" s="18"/>
      <c r="E22" s="18"/>
      <c r="F22" s="18"/>
      <c r="G22" s="18"/>
      <c r="H22" s="18"/>
      <c r="I22" s="18"/>
      <c r="J22" s="18"/>
      <c r="K22" s="18"/>
      <c r="L22" s="18"/>
      <c r="M22" s="18"/>
      <c r="N22" s="97">
        <v>92248749</v>
      </c>
      <c r="O22" s="98"/>
    </row>
    <row r="23" ht="15" customHeight="1">
      <c r="A23" t="s" s="33">
        <v>49</v>
      </c>
      <c r="B23" s="18"/>
      <c r="C23" s="18"/>
      <c r="D23" s="18"/>
      <c r="E23" s="18"/>
      <c r="F23" s="18"/>
      <c r="G23" s="18"/>
      <c r="H23" s="18"/>
      <c r="I23" s="18"/>
      <c r="J23" s="18"/>
      <c r="K23" s="18"/>
      <c r="L23" s="18"/>
      <c r="M23" s="18"/>
      <c r="N23" s="97" cm="1">
        <f t="array" ref="N23">SUM(B23:M23)</f>
        <v>0</v>
      </c>
      <c r="O23" s="98"/>
    </row>
    <row r="24" ht="15" customHeight="1">
      <c r="A24" s="30"/>
      <c r="B24" s="23"/>
      <c r="C24" s="23"/>
      <c r="D24" s="23"/>
      <c r="E24" s="23"/>
      <c r="F24" s="23"/>
      <c r="G24" s="23"/>
      <c r="H24" s="23"/>
      <c r="I24" s="23"/>
      <c r="J24" s="23"/>
      <c r="K24" s="23"/>
      <c r="L24" s="23"/>
      <c r="M24" s="23"/>
      <c r="N24" s="27"/>
      <c r="O24" s="27"/>
    </row>
    <row r="25" ht="15" customHeight="1">
      <c r="A25" s="11"/>
      <c r="B25" s="26"/>
      <c r="C25" s="26"/>
      <c r="D25" s="26"/>
      <c r="E25" s="26"/>
      <c r="F25" s="26"/>
      <c r="G25" s="26"/>
      <c r="H25" s="26"/>
      <c r="I25" s="26"/>
      <c r="J25" s="26"/>
      <c r="K25" s="26"/>
      <c r="L25" s="26"/>
      <c r="M25" s="26"/>
      <c r="N25" s="27"/>
      <c r="O25" s="27"/>
    </row>
    <row r="26" ht="23" customHeight="1">
      <c r="A26" t="s" s="7">
        <v>6</v>
      </c>
      <c r="B26" s="8"/>
      <c r="C26" s="8"/>
      <c r="D26" s="9"/>
      <c r="E26" s="9"/>
      <c r="F26" s="9"/>
      <c r="G26" s="9"/>
      <c r="H26" s="9"/>
      <c r="I26" s="9"/>
      <c r="J26" s="9"/>
      <c r="K26" s="9"/>
      <c r="L26" s="9"/>
      <c r="M26" s="9"/>
      <c r="N26" s="27"/>
      <c r="O26" s="27"/>
    </row>
    <row r="27" ht="23" customHeight="1">
      <c r="A27" t="s" s="7">
        <v>123</v>
      </c>
      <c r="B27" s="8"/>
      <c r="C27" s="8"/>
      <c r="D27" s="12"/>
      <c r="E27" s="12"/>
      <c r="F27" s="12"/>
      <c r="G27" s="12"/>
      <c r="H27" s="12"/>
      <c r="I27" s="12"/>
      <c r="J27" s="12"/>
      <c r="K27" s="12"/>
      <c r="L27" s="12"/>
      <c r="M27" s="12"/>
      <c r="N27" s="27"/>
      <c r="O27" s="27"/>
    </row>
    <row r="28" ht="23" customHeight="1">
      <c r="A28" s="8"/>
      <c r="B28" s="8"/>
      <c r="C28" s="8"/>
      <c r="D28" s="9"/>
      <c r="E28" s="9"/>
      <c r="F28" s="9"/>
      <c r="G28" s="9"/>
      <c r="H28" s="9"/>
      <c r="I28" s="9"/>
      <c r="J28" s="9"/>
      <c r="K28" s="9"/>
      <c r="L28" s="9"/>
      <c r="M28" s="9"/>
      <c r="N28" s="27"/>
      <c r="O28" s="27"/>
    </row>
    <row r="29" ht="15" customHeight="1">
      <c r="A29" s="13"/>
      <c r="B29" s="13"/>
      <c r="C29" s="13"/>
      <c r="D29" s="13"/>
      <c r="E29" s="13"/>
      <c r="F29" s="13"/>
      <c r="G29" s="13"/>
      <c r="H29" s="13"/>
      <c r="I29" s="13"/>
      <c r="J29" s="13"/>
      <c r="K29" s="13"/>
      <c r="L29" s="13"/>
      <c r="M29" s="13"/>
      <c r="N29" s="78"/>
      <c r="O29" s="78"/>
    </row>
    <row r="30" ht="15" customHeight="1">
      <c r="A30" t="s" s="32">
        <v>28</v>
      </c>
      <c r="B30" t="s" s="14">
        <v>9</v>
      </c>
      <c r="C30" t="s" s="14">
        <v>10</v>
      </c>
      <c r="D30" t="s" s="14">
        <v>11</v>
      </c>
      <c r="E30" t="s" s="14">
        <v>12</v>
      </c>
      <c r="F30" t="s" s="14">
        <v>13</v>
      </c>
      <c r="G30" t="s" s="14">
        <v>14</v>
      </c>
      <c r="H30" t="s" s="14">
        <v>15</v>
      </c>
      <c r="I30" t="s" s="14">
        <v>16</v>
      </c>
      <c r="J30" t="s" s="14">
        <v>17</v>
      </c>
      <c r="K30" t="s" s="14">
        <v>18</v>
      </c>
      <c r="L30" t="s" s="14">
        <v>19</v>
      </c>
      <c r="M30" t="s" s="14">
        <v>20</v>
      </c>
      <c r="N30" t="s" s="14">
        <v>23</v>
      </c>
      <c r="O30" t="s" s="73">
        <v>116</v>
      </c>
    </row>
    <row r="31" ht="15" customHeight="1">
      <c r="A31" t="s" s="33">
        <v>29</v>
      </c>
      <c r="B31" s="79" cm="1">
        <f t="array" ref="B31">6520/4</f>
        <v>1630</v>
      </c>
      <c r="C31" s="79" cm="1">
        <f t="array" ref="C31">7453/4</f>
        <v>1863.25</v>
      </c>
      <c r="D31" s="79" cm="1">
        <f t="array" ref="D31">6213/4</f>
        <v>1553.25</v>
      </c>
      <c r="E31" s="80" cm="1">
        <f t="array" ref="E31">6273/5</f>
        <v>1254.6</v>
      </c>
      <c r="F31" s="80" cm="1">
        <f t="array" ref="F31">5657/4</f>
        <v>1414.25</v>
      </c>
      <c r="G31" s="80" cm="1">
        <f t="array" ref="G31">5091/4</f>
        <v>1272.75</v>
      </c>
      <c r="H31" s="80" cm="1">
        <f t="array" ref="H31">6981/5</f>
        <v>1396.2</v>
      </c>
      <c r="I31" s="80" cm="1">
        <f t="array" ref="I31">5949/4</f>
        <v>1487.25</v>
      </c>
      <c r="J31" s="80" cm="1">
        <f t="array" ref="J31">7029/5</f>
        <v>1405.8</v>
      </c>
      <c r="K31" s="80" cm="1">
        <f t="array" ref="K31">5816/4</f>
        <v>1454</v>
      </c>
      <c r="L31" s="80" cm="1">
        <f t="array" ref="L31">5895/4</f>
        <v>1473.75</v>
      </c>
      <c r="M31" s="80" cm="1">
        <f t="array" ref="M31">6551/5</f>
        <v>1310.2</v>
      </c>
      <c r="N31" s="99" cm="1">
        <f t="array" ref="N31">AVERAGE(B31:M31)</f>
        <v>1459.608333333330</v>
      </c>
      <c r="O31" s="100">
        <v>1600</v>
      </c>
    </row>
    <row r="32" ht="15" customHeight="1">
      <c r="A32" t="s" s="33">
        <v>30</v>
      </c>
      <c r="B32" s="80" cm="1">
        <f t="array" ref="B32">999/5</f>
        <v>199.8</v>
      </c>
      <c r="C32" s="80" cm="1">
        <f t="array" ref="C32">406/4</f>
        <v>101.5</v>
      </c>
      <c r="D32" s="80" cm="1">
        <f t="array" ref="D32">363/4</f>
        <v>90.75</v>
      </c>
      <c r="E32" s="80" cm="1">
        <f t="array" ref="E32">290/4</f>
        <v>72.5</v>
      </c>
      <c r="F32" s="80" cm="1">
        <f t="array" ref="F32">422/5</f>
        <v>84.40000000000001</v>
      </c>
      <c r="G32" s="80" cm="1">
        <f t="array" ref="G32">349/4</f>
        <v>87.25</v>
      </c>
      <c r="H32" s="80" cm="1">
        <f t="array" ref="H32">251/4</f>
        <v>62.75</v>
      </c>
      <c r="I32" s="80" cm="1">
        <f t="array" ref="I32">392/5</f>
        <v>78.40000000000001</v>
      </c>
      <c r="J32" s="80" cm="1">
        <f t="array" ref="J32">342/4</f>
        <v>85.5</v>
      </c>
      <c r="K32" s="80" cm="1">
        <f t="array" ref="K32">553/5</f>
        <v>110.6</v>
      </c>
      <c r="L32" s="80" cm="1">
        <f t="array" ref="L32">311/4</f>
        <v>77.75</v>
      </c>
      <c r="M32" s="80" cm="1">
        <f t="array" ref="M32">959/4</f>
        <v>239.75</v>
      </c>
      <c r="N32" s="101" cm="1">
        <f t="array" ref="N32">AVERAGE(B32:M32)</f>
        <v>107.579166666667</v>
      </c>
      <c r="O32" s="11"/>
    </row>
    <row r="33" ht="15" customHeight="1">
      <c r="A33" t="s" s="33">
        <v>31</v>
      </c>
      <c r="B33" s="80">
        <v>295</v>
      </c>
      <c r="C33" s="80">
        <v>416</v>
      </c>
      <c r="D33" s="80">
        <v>242</v>
      </c>
      <c r="E33" s="80">
        <v>346</v>
      </c>
      <c r="F33" s="80">
        <v>233</v>
      </c>
      <c r="G33" s="80">
        <v>314</v>
      </c>
      <c r="H33" s="80">
        <v>206</v>
      </c>
      <c r="I33" s="80">
        <v>368</v>
      </c>
      <c r="J33" s="80">
        <v>295</v>
      </c>
      <c r="K33" s="80">
        <v>355</v>
      </c>
      <c r="L33" s="80">
        <v>335</v>
      </c>
      <c r="M33" s="17">
        <v>438</v>
      </c>
      <c r="N33" s="101" cm="1">
        <f t="array" ref="N33">AVERAGE(B33:M33)</f>
        <v>320.25</v>
      </c>
      <c r="O33" s="11"/>
    </row>
    <row r="34" ht="15" customHeight="1">
      <c r="A34" t="s" s="33">
        <v>32</v>
      </c>
      <c r="B34" s="80" cm="1">
        <f t="array" ref="B34">57+886+33</f>
        <v>976</v>
      </c>
      <c r="C34" s="80" cm="1">
        <f t="array" ref="C34">72+996+33</f>
        <v>1101</v>
      </c>
      <c r="D34" s="80" cm="1">
        <f t="array" ref="D34">38+939+45</f>
        <v>1022</v>
      </c>
      <c r="E34" s="80" cm="1">
        <f t="array" ref="E34">108+1140</f>
        <v>1248</v>
      </c>
      <c r="F34" s="80" cm="1">
        <f t="array" ref="F34">31+874+42</f>
        <v>947</v>
      </c>
      <c r="G34" s="80" cm="1">
        <f t="array" ref="G34">51+869+39</f>
        <v>959</v>
      </c>
      <c r="H34" s="80" cm="1">
        <f t="array" ref="H34">56+1202+22</f>
        <v>1280</v>
      </c>
      <c r="I34" s="80" cm="1">
        <f t="array" ref="I34">49+971+38</f>
        <v>1058</v>
      </c>
      <c r="J34" s="80" cm="1">
        <f t="array" ref="J34">52+1309+37</f>
        <v>1398</v>
      </c>
      <c r="K34" s="80" cm="1">
        <f t="array" ref="K34">43+970+39</f>
        <v>1052</v>
      </c>
      <c r="L34" s="80" cm="1">
        <f t="array" ref="L34">930+39+45</f>
        <v>1014</v>
      </c>
      <c r="M34" s="17" cm="1">
        <f t="array" ref="M34">1196+49+79</f>
        <v>1324</v>
      </c>
      <c r="N34" s="101" cm="1">
        <f t="array" ref="N34">AVERAGE(B34:M34)</f>
        <v>1114.916666666670</v>
      </c>
      <c r="O34" s="11"/>
    </row>
    <row r="35" ht="15" customHeight="1">
      <c r="A35" t="s" s="33">
        <v>33</v>
      </c>
      <c r="B35" s="80">
        <v>297</v>
      </c>
      <c r="C35" s="80">
        <v>305</v>
      </c>
      <c r="D35" s="80">
        <v>280</v>
      </c>
      <c r="E35" s="80">
        <v>293</v>
      </c>
      <c r="F35" s="80">
        <v>268</v>
      </c>
      <c r="G35" s="80">
        <v>243</v>
      </c>
      <c r="H35" s="80" cm="1">
        <f t="array" ref="H35">H38+H37+H36</f>
        <v>286.4</v>
      </c>
      <c r="I35" s="80" cm="1">
        <f t="array" ref="I35">I38+I37+I36</f>
        <v>310.5</v>
      </c>
      <c r="J35" s="80" cm="1">
        <f t="array" ref="J35">J38+J37+J36</f>
        <v>298.4</v>
      </c>
      <c r="K35" s="80" cm="1">
        <f t="array" ref="K35">K38+K37+K36</f>
        <v>287.25</v>
      </c>
      <c r="L35" s="80" cm="1">
        <f t="array" ref="L35">L38+L37+L36</f>
        <v>300</v>
      </c>
      <c r="M35" s="80" cm="1">
        <f t="array" ref="M35">M38+M37+M36</f>
        <v>255.8</v>
      </c>
      <c r="N35" s="101" cm="1">
        <f t="array" ref="N35">AVERAGE(B35:M35)</f>
        <v>285.3625</v>
      </c>
      <c r="O35" s="11"/>
    </row>
    <row r="36" ht="15" customHeight="1">
      <c r="A36" s="40">
        <v>1</v>
      </c>
      <c r="B36" s="80" cm="1">
        <f t="array" ref="B36">56/4</f>
        <v>14</v>
      </c>
      <c r="C36" s="80" cm="1">
        <f t="array" ref="C36">101/4</f>
        <v>25.25</v>
      </c>
      <c r="D36" s="80" cm="1">
        <f t="array" ref="D36">116/4</f>
        <v>29</v>
      </c>
      <c r="E36" s="80" cm="1">
        <f t="array" ref="E36">154/5</f>
        <v>30.8</v>
      </c>
      <c r="F36" s="80" cm="1">
        <f t="array" ref="F36">157/4</f>
        <v>39.25</v>
      </c>
      <c r="G36" s="80" cm="1">
        <f t="array" ref="G36">143/4</f>
        <v>35.75</v>
      </c>
      <c r="H36" s="80" cm="1">
        <f t="array" ref="H36">(35+35+56+40+20)/5</f>
        <v>37.2</v>
      </c>
      <c r="I36" s="80" cm="1">
        <f t="array" ref="I36">(47+38+20+26)/4</f>
        <v>32.75</v>
      </c>
      <c r="J36" s="80" cm="1">
        <f t="array" ref="J36">(28+42+47+52+37)/5</f>
        <v>41.2</v>
      </c>
      <c r="K36" s="80" cm="1">
        <f t="array" ref="K36">(24+15+33+33)/4</f>
        <v>26.25</v>
      </c>
      <c r="L36" s="80" cm="1">
        <f t="array" ref="L36">(30+26+36+32)/4</f>
        <v>31</v>
      </c>
      <c r="M36" s="80" cm="1">
        <f t="array" ref="M36">(32+35+39+36+36+18)/5</f>
        <v>39.2</v>
      </c>
      <c r="N36" s="101" cm="1">
        <f t="array" ref="N36">AVERAGE(B36:M36)</f>
        <v>31.8041666666667</v>
      </c>
      <c r="O36" s="11"/>
    </row>
    <row r="37" ht="15" customHeight="1">
      <c r="A37" s="40">
        <v>2</v>
      </c>
      <c r="B37" s="80" cm="1">
        <f t="array" ref="B37">413/4</f>
        <v>103.25</v>
      </c>
      <c r="C37" s="80" cm="1">
        <f t="array" ref="C37">572/4</f>
        <v>143</v>
      </c>
      <c r="D37" s="80" cm="1">
        <f t="array" ref="D37">509/4</f>
        <v>127.25</v>
      </c>
      <c r="E37" s="80" cm="1">
        <f t="array" ref="E37">694/5</f>
        <v>138.8</v>
      </c>
      <c r="F37" s="80" cm="1">
        <f t="array" ref="F37">521/4</f>
        <v>130.25</v>
      </c>
      <c r="G37" s="80" cm="1">
        <f t="array" ref="G37">471/4</f>
        <v>117.75</v>
      </c>
      <c r="H37" s="80" cm="1">
        <f t="array" ref="H37">(110+151+109+123+137)/5</f>
        <v>126</v>
      </c>
      <c r="I37" s="80" cm="1">
        <f t="array" ref="I37">(152+142+119+139)/4</f>
        <v>138</v>
      </c>
      <c r="J37" s="80" cm="1">
        <f t="array" ref="J37">(131+124+133+129+126)/5</f>
        <v>128.6</v>
      </c>
      <c r="K37" s="80" cm="1">
        <f t="array" ref="K37">(119+106+157+132)/4</f>
        <v>128.5</v>
      </c>
      <c r="L37" s="80" cm="1">
        <f t="array" ref="L37">(129+140+126+126)/4</f>
        <v>130.25</v>
      </c>
      <c r="M37" s="80" cm="1">
        <f t="array" ref="M37">(114+140+110+71+52)/5</f>
        <v>97.40000000000001</v>
      </c>
      <c r="N37" s="101" cm="1">
        <f t="array" ref="N37">AVERAGE(B37:M37)</f>
        <v>125.754166666667</v>
      </c>
      <c r="O37" s="11"/>
    </row>
    <row r="38" ht="15" customHeight="1">
      <c r="A38" s="40">
        <v>3</v>
      </c>
      <c r="B38" s="80" cm="1">
        <f t="array" ref="B38">442/4</f>
        <v>110.5</v>
      </c>
      <c r="C38" s="80" cm="1">
        <f t="array" ref="C38">493/4</f>
        <v>123.25</v>
      </c>
      <c r="D38" s="80" cm="1">
        <f t="array" ref="D38">431/4</f>
        <v>107.75</v>
      </c>
      <c r="E38" s="80" cm="1">
        <f t="array" ref="E38">614/5</f>
        <v>122.8</v>
      </c>
      <c r="F38" s="80" cm="1">
        <f t="array" ref="F38">471/4</f>
        <v>117.75</v>
      </c>
      <c r="G38" s="80" cm="1">
        <f t="array" ref="G38">358/4</f>
        <v>89.5</v>
      </c>
      <c r="H38" s="80" cm="1">
        <f t="array" ref="H38">(96+121+130+140+129)/5</f>
        <v>123.2</v>
      </c>
      <c r="I38" s="80" cm="1">
        <f t="array" ref="I38">(168+149+155+87)/4</f>
        <v>139.75</v>
      </c>
      <c r="J38" s="80" cm="1">
        <f t="array" ref="J38">(133+136+136+140+98)/5</f>
        <v>128.6</v>
      </c>
      <c r="K38" s="80" cm="1">
        <f t="array" ref="K38">(118+95+160+157)/4</f>
        <v>132.5</v>
      </c>
      <c r="L38" s="80" cm="1">
        <f t="array" ref="L38">(133+115+151+156)/4</f>
        <v>138.75</v>
      </c>
      <c r="M38" s="80" cm="1">
        <f t="array" ref="M38">(115+146+139+109+87)/5</f>
        <v>119.2</v>
      </c>
      <c r="N38" s="101" cm="1">
        <f t="array" ref="N38">AVERAGE(B38:M38)</f>
        <v>121.129166666667</v>
      </c>
      <c r="O38" s="11"/>
    </row>
    <row r="39" ht="15" customHeight="1">
      <c r="A39" t="s" s="33">
        <v>34</v>
      </c>
      <c r="B39" s="35"/>
      <c r="C39" s="35"/>
      <c r="D39" s="35"/>
      <c r="E39" s="35"/>
      <c r="F39" s="35"/>
      <c r="G39" s="35"/>
      <c r="H39" s="35"/>
      <c r="I39" s="35"/>
      <c r="J39" s="35"/>
      <c r="K39" s="35"/>
      <c r="L39" s="35"/>
      <c r="M39" s="35"/>
      <c r="N39" s="36"/>
      <c r="O39" s="11"/>
    </row>
    <row r="40" ht="15" customHeight="1">
      <c r="A40" s="37"/>
      <c r="B40" s="83"/>
      <c r="C40" s="83"/>
      <c r="D40" s="83"/>
      <c r="E40" s="83"/>
      <c r="F40" s="83"/>
      <c r="G40" s="84"/>
      <c r="H40" s="83"/>
      <c r="I40" s="37"/>
      <c r="J40" s="37"/>
      <c r="K40" s="37"/>
      <c r="L40" s="37"/>
      <c r="M40" s="37"/>
      <c r="N40" s="11"/>
      <c r="O40" s="11"/>
    </row>
    <row r="41" ht="15" customHeight="1">
      <c r="A41" t="s" s="32">
        <v>28</v>
      </c>
      <c r="B41" t="s" s="14">
        <v>9</v>
      </c>
      <c r="C41" t="s" s="14">
        <v>10</v>
      </c>
      <c r="D41" t="s" s="14">
        <v>11</v>
      </c>
      <c r="E41" t="s" s="14">
        <v>12</v>
      </c>
      <c r="F41" t="s" s="14">
        <v>13</v>
      </c>
      <c r="G41" t="s" s="14">
        <v>14</v>
      </c>
      <c r="H41" t="s" s="14">
        <v>15</v>
      </c>
      <c r="I41" t="s" s="14">
        <v>16</v>
      </c>
      <c r="J41" t="s" s="14">
        <v>17</v>
      </c>
      <c r="K41" t="s" s="14">
        <v>18</v>
      </c>
      <c r="L41" t="s" s="14">
        <v>19</v>
      </c>
      <c r="M41" t="s" s="14">
        <v>20</v>
      </c>
      <c r="N41" t="s" s="65">
        <v>124</v>
      </c>
      <c r="O41" t="s" s="54">
        <v>84</v>
      </c>
    </row>
    <row r="42" ht="15" customHeight="1">
      <c r="A42" t="s" s="33">
        <v>35</v>
      </c>
      <c r="B42" s="17" cm="1">
        <f t="array" ref="B42">5+74</f>
        <v>79</v>
      </c>
      <c r="C42" s="17" cm="1">
        <f t="array" ref="C42">5+102</f>
        <v>107</v>
      </c>
      <c r="D42" s="17" cm="1">
        <f t="array" ref="D42">3+83</f>
        <v>86</v>
      </c>
      <c r="E42" s="17" cm="1">
        <f t="array" ref="E42">3+89</f>
        <v>92</v>
      </c>
      <c r="F42" s="17" cm="1">
        <f t="array" ref="F42">7+60</f>
        <v>67</v>
      </c>
      <c r="G42" s="17" cm="1">
        <f t="array" ref="G42">2+40</f>
        <v>42</v>
      </c>
      <c r="H42" s="17">
        <v>114</v>
      </c>
      <c r="I42" s="17" cm="1">
        <f t="array" ref="I42">7+62+1</f>
        <v>70</v>
      </c>
      <c r="J42" s="17">
        <v>84</v>
      </c>
      <c r="K42" s="17">
        <v>100</v>
      </c>
      <c r="L42" s="17">
        <v>67</v>
      </c>
      <c r="M42" s="17">
        <v>67</v>
      </c>
      <c r="N42" s="67" cm="1">
        <f t="array" ref="N42">SUM(B42:M42)</f>
        <v>975</v>
      </c>
      <c r="O42" s="63" cm="1">
        <f t="array" ref="O42">N42/12</f>
        <v>81.25</v>
      </c>
    </row>
    <row r="43" ht="15" customHeight="1">
      <c r="A43" t="s" s="33">
        <v>85</v>
      </c>
      <c r="B43" s="17">
        <v>47</v>
      </c>
      <c r="C43" s="17">
        <v>47</v>
      </c>
      <c r="D43" s="17">
        <v>71</v>
      </c>
      <c r="E43" s="17">
        <v>24</v>
      </c>
      <c r="F43" s="17">
        <v>52</v>
      </c>
      <c r="G43" s="17">
        <v>33</v>
      </c>
      <c r="H43" s="17">
        <v>26</v>
      </c>
      <c r="I43" s="17">
        <v>6</v>
      </c>
      <c r="J43" s="17">
        <v>65</v>
      </c>
      <c r="K43" s="17">
        <v>18</v>
      </c>
      <c r="L43" s="17">
        <v>29</v>
      </c>
      <c r="M43" s="17">
        <v>20</v>
      </c>
      <c r="N43" s="67" cm="1">
        <f t="array" ref="N43">SUM(B43:M43)</f>
        <v>438</v>
      </c>
      <c r="O43" s="63" cm="1">
        <f t="array" ref="O43">N43/12</f>
        <v>36.5</v>
      </c>
    </row>
    <row r="44" ht="15" customHeight="1">
      <c r="A44" t="s" s="33">
        <v>37</v>
      </c>
      <c r="B44" s="35"/>
      <c r="C44" s="35"/>
      <c r="D44" s="35"/>
      <c r="E44" s="35"/>
      <c r="F44" s="17">
        <v>4</v>
      </c>
      <c r="G44" s="35"/>
      <c r="H44" s="35"/>
      <c r="I44" s="35"/>
      <c r="J44" s="35"/>
      <c r="K44" s="35"/>
      <c r="L44" s="35"/>
      <c r="M44" s="35"/>
      <c r="N44" s="67">
        <v>212</v>
      </c>
      <c r="O44" s="63" cm="1">
        <f t="array" ref="O44">N44/12</f>
        <v>17.6666666666667</v>
      </c>
    </row>
    <row r="45" ht="15" customHeight="1">
      <c r="A45" t="s" s="33">
        <v>100</v>
      </c>
      <c r="B45" s="35"/>
      <c r="C45" s="35"/>
      <c r="D45" s="35"/>
      <c r="E45" s="17">
        <v>31</v>
      </c>
      <c r="F45" s="17">
        <v>21</v>
      </c>
      <c r="G45" s="35"/>
      <c r="H45" s="17">
        <v>24</v>
      </c>
      <c r="I45" s="35"/>
      <c r="J45" s="17">
        <v>28</v>
      </c>
      <c r="K45" s="17">
        <v>22</v>
      </c>
      <c r="L45" s="17">
        <v>38</v>
      </c>
      <c r="M45" s="35"/>
      <c r="N45" s="67" cm="1">
        <f t="array" ref="N45">SUM(B45:M45)</f>
        <v>164</v>
      </c>
      <c r="O45" s="63" cm="1">
        <f t="array" ref="O45">N45/12</f>
        <v>13.6666666666667</v>
      </c>
    </row>
    <row r="46" ht="15" customHeight="1">
      <c r="A46" t="s" s="33">
        <v>101</v>
      </c>
      <c r="B46" s="35"/>
      <c r="C46" s="35"/>
      <c r="D46" s="35"/>
      <c r="E46" s="35"/>
      <c r="F46" s="17">
        <v>24</v>
      </c>
      <c r="G46" s="17">
        <v>23</v>
      </c>
      <c r="H46" s="35"/>
      <c r="I46" s="35"/>
      <c r="J46" s="17">
        <v>36</v>
      </c>
      <c r="K46" s="35"/>
      <c r="L46" s="17">
        <v>24</v>
      </c>
      <c r="M46" s="35"/>
      <c r="N46" s="67" cm="1">
        <f t="array" ref="N46">SUM(B46:M46)</f>
        <v>107</v>
      </c>
      <c r="O46" s="63" cm="1">
        <f t="array" ref="O46">N46/12</f>
        <v>8.91666666666667</v>
      </c>
    </row>
    <row r="47" ht="15" customHeight="1">
      <c r="A47" t="s" s="33">
        <v>38</v>
      </c>
      <c r="B47" s="17">
        <v>174</v>
      </c>
      <c r="C47" s="17">
        <v>174</v>
      </c>
      <c r="D47" s="17">
        <v>174</v>
      </c>
      <c r="E47" s="17">
        <v>174</v>
      </c>
      <c r="F47" s="17">
        <v>174</v>
      </c>
      <c r="G47" s="17">
        <v>174</v>
      </c>
      <c r="H47" s="17">
        <v>156</v>
      </c>
      <c r="I47" s="17">
        <v>156</v>
      </c>
      <c r="J47" s="17">
        <v>156</v>
      </c>
      <c r="K47" s="17">
        <v>156</v>
      </c>
      <c r="L47" s="17">
        <v>156</v>
      </c>
      <c r="M47" s="17">
        <v>156</v>
      </c>
      <c r="N47" s="36"/>
      <c r="O47" s="11"/>
    </row>
    <row r="48" ht="15" customHeight="1">
      <c r="A48" s="39"/>
      <c r="B48" s="35"/>
      <c r="C48" s="35"/>
      <c r="D48" s="35"/>
      <c r="E48" s="35"/>
      <c r="F48" s="35"/>
      <c r="G48" s="35"/>
      <c r="H48" s="35"/>
      <c r="I48" s="35"/>
      <c r="J48" s="35"/>
      <c r="K48" s="35"/>
      <c r="L48" s="35"/>
      <c r="M48" s="35"/>
      <c r="N48" s="36"/>
      <c r="O48" s="11"/>
    </row>
    <row r="49" ht="29" customHeight="1">
      <c r="A49" t="s" s="68">
        <v>86</v>
      </c>
      <c r="B49" t="s" s="14">
        <v>9</v>
      </c>
      <c r="C49" t="s" s="14">
        <v>10</v>
      </c>
      <c r="D49" t="s" s="14">
        <v>11</v>
      </c>
      <c r="E49" t="s" s="14">
        <v>12</v>
      </c>
      <c r="F49" t="s" s="14">
        <v>13</v>
      </c>
      <c r="G49" t="s" s="14">
        <v>14</v>
      </c>
      <c r="H49" t="s" s="14">
        <v>15</v>
      </c>
      <c r="I49" t="s" s="14">
        <v>16</v>
      </c>
      <c r="J49" t="s" s="14">
        <v>17</v>
      </c>
      <c r="K49" t="s" s="14">
        <v>18</v>
      </c>
      <c r="L49" t="s" s="14">
        <v>19</v>
      </c>
      <c r="M49" t="s" s="14">
        <v>20</v>
      </c>
      <c r="N49" t="s" s="65">
        <v>23</v>
      </c>
      <c r="O49" s="11"/>
    </row>
    <row r="50" ht="15" customHeight="1">
      <c r="A50" t="s" s="33">
        <v>39</v>
      </c>
      <c r="B50" s="17" cm="1">
        <f t="array" ref="B50">B62+B63</f>
        <v>270</v>
      </c>
      <c r="C50" s="17" cm="1">
        <f t="array" ref="C50">C62+C63</f>
        <v>281</v>
      </c>
      <c r="D50" s="17" cm="1">
        <f t="array" ref="D50">D62+D63</f>
        <v>248</v>
      </c>
      <c r="E50" s="35"/>
      <c r="F50" s="17">
        <v>183</v>
      </c>
      <c r="G50" s="17">
        <v>205</v>
      </c>
      <c r="H50" s="17">
        <v>180</v>
      </c>
      <c r="I50" s="17">
        <v>185</v>
      </c>
      <c r="J50" s="17">
        <v>200</v>
      </c>
      <c r="K50" s="17">
        <v>196</v>
      </c>
      <c r="L50" s="17">
        <v>211</v>
      </c>
      <c r="M50" s="17">
        <v>286</v>
      </c>
      <c r="N50" s="101" cm="1">
        <f t="array" ref="N50">AVERAGE(B50:M50)</f>
        <v>222.272727272727</v>
      </c>
      <c r="O50" s="102"/>
    </row>
    <row r="51" ht="15" customHeight="1">
      <c r="A51" t="s" s="33">
        <v>40</v>
      </c>
      <c r="B51" s="35"/>
      <c r="C51" s="17" cm="1">
        <f t="array" ref="C51">91*2</f>
        <v>182</v>
      </c>
      <c r="D51" s="17" cm="1">
        <f t="array" ref="D51">123*2</f>
        <v>246</v>
      </c>
      <c r="E51" s="17" cm="1">
        <f t="array" ref="E51">124*2</f>
        <v>248</v>
      </c>
      <c r="F51" s="17" cm="1">
        <f t="array" ref="F51">85*2</f>
        <v>170</v>
      </c>
      <c r="G51" s="17" cm="1">
        <f t="array" ref="G51">75*2</f>
        <v>150</v>
      </c>
      <c r="H51" s="17" cm="1">
        <f t="array" ref="H51">90*2</f>
        <v>180</v>
      </c>
      <c r="I51" s="17" cm="1">
        <f t="array" ref="I51">93*2</f>
        <v>186</v>
      </c>
      <c r="J51" s="17" cm="1">
        <f t="array" ref="J51">90*2</f>
        <v>180</v>
      </c>
      <c r="K51" s="17" cm="1">
        <f t="array" ref="K51">90*2</f>
        <v>180</v>
      </c>
      <c r="L51" s="17" cm="1">
        <f t="array" ref="L51">157*2</f>
        <v>314</v>
      </c>
      <c r="M51" s="35"/>
      <c r="N51" s="101" cm="1">
        <f t="array" ref="N51">AVERAGE(B51:M51)</f>
        <v>203.6</v>
      </c>
      <c r="O51" s="102"/>
    </row>
    <row r="52" ht="15" customHeight="1">
      <c r="A52" t="s" s="33">
        <v>41</v>
      </c>
      <c r="B52" s="35"/>
      <c r="C52" s="35"/>
      <c r="D52" s="17">
        <v>65</v>
      </c>
      <c r="E52" s="17">
        <v>35</v>
      </c>
      <c r="F52" s="17">
        <v>49</v>
      </c>
      <c r="G52" s="17">
        <v>98</v>
      </c>
      <c r="H52" s="17">
        <v>28</v>
      </c>
      <c r="I52" s="17">
        <v>37</v>
      </c>
      <c r="J52" s="17">
        <v>79</v>
      </c>
      <c r="K52" s="17">
        <v>27</v>
      </c>
      <c r="L52" s="35"/>
      <c r="M52" s="35"/>
      <c r="N52" s="101" cm="1">
        <f t="array" ref="N52">AVERAGE(B52:M52)</f>
        <v>52.25</v>
      </c>
      <c r="O52" s="102"/>
    </row>
    <row r="53" ht="15" customHeight="1">
      <c r="A53" t="s" s="33">
        <v>42</v>
      </c>
      <c r="B53" s="35"/>
      <c r="C53" s="35"/>
      <c r="D53" s="17" cm="1">
        <f t="array" ref="D53">109+53</f>
        <v>162</v>
      </c>
      <c r="E53" s="17" cm="1">
        <f t="array" ref="E53">99+53</f>
        <v>152</v>
      </c>
      <c r="F53" s="17" cm="1">
        <f t="array" ref="F53">89+54</f>
        <v>143</v>
      </c>
      <c r="G53" s="17" cm="1">
        <f t="array" ref="G53">95+55</f>
        <v>150</v>
      </c>
      <c r="H53" s="17" cm="1">
        <f t="array" ref="H53">56+55</f>
        <v>111</v>
      </c>
      <c r="I53" s="17" cm="1">
        <f t="array" ref="I53">70+56</f>
        <v>126</v>
      </c>
      <c r="J53" s="17" cm="1">
        <f t="array" ref="J53">50+59</f>
        <v>109</v>
      </c>
      <c r="K53" s="17" cm="1">
        <f t="array" ref="K53">54+56</f>
        <v>110</v>
      </c>
      <c r="L53" s="17" cm="1">
        <f t="array" ref="L53">27+52</f>
        <v>79</v>
      </c>
      <c r="M53" s="35"/>
      <c r="N53" s="101" cm="1">
        <f t="array" ref="N53">AVERAGE(B53:M53)</f>
        <v>126.888888888889</v>
      </c>
      <c r="O53" s="102"/>
    </row>
    <row r="54" ht="15" customHeight="1">
      <c r="A54" t="s" s="33">
        <v>87</v>
      </c>
      <c r="B54" s="35"/>
      <c r="C54" s="17">
        <v>60</v>
      </c>
      <c r="D54" s="17">
        <v>45</v>
      </c>
      <c r="E54" s="17">
        <v>48</v>
      </c>
      <c r="F54" s="17">
        <v>40</v>
      </c>
      <c r="G54" s="17">
        <v>38</v>
      </c>
      <c r="H54" s="17">
        <v>41</v>
      </c>
      <c r="I54" s="17">
        <v>37</v>
      </c>
      <c r="J54" s="17">
        <v>41</v>
      </c>
      <c r="K54" s="17">
        <v>43</v>
      </c>
      <c r="L54" s="17">
        <v>46</v>
      </c>
      <c r="M54" s="35"/>
      <c r="N54" s="101" cm="1">
        <f t="array" ref="N54">AVERAGE(B54:M54)</f>
        <v>43.9</v>
      </c>
      <c r="O54" s="102"/>
    </row>
    <row r="55" ht="15" customHeight="1">
      <c r="A55" t="s" s="33">
        <v>88</v>
      </c>
      <c r="B55" s="35"/>
      <c r="C55" s="35"/>
      <c r="D55" s="17">
        <v>173</v>
      </c>
      <c r="E55" s="35"/>
      <c r="F55" s="35"/>
      <c r="G55" s="17">
        <v>126</v>
      </c>
      <c r="H55" s="35"/>
      <c r="I55" s="35"/>
      <c r="J55" s="35"/>
      <c r="K55" s="35"/>
      <c r="L55" s="35"/>
      <c r="M55" s="35"/>
      <c r="N55" s="101">
        <v>125</v>
      </c>
      <c r="O55" s="102"/>
    </row>
    <row r="56" ht="15" customHeight="1">
      <c r="A56" t="s" s="33">
        <v>43</v>
      </c>
      <c r="B56" s="35"/>
      <c r="C56" s="35"/>
      <c r="D56" s="17">
        <v>50</v>
      </c>
      <c r="E56" s="17">
        <v>50</v>
      </c>
      <c r="F56" s="17">
        <v>50</v>
      </c>
      <c r="G56" s="17">
        <v>50</v>
      </c>
      <c r="H56" s="17">
        <v>50</v>
      </c>
      <c r="I56" s="17">
        <v>50</v>
      </c>
      <c r="J56" s="17">
        <v>50</v>
      </c>
      <c r="K56" s="17">
        <v>50</v>
      </c>
      <c r="L56" s="17">
        <v>50</v>
      </c>
      <c r="M56" s="17">
        <v>50</v>
      </c>
      <c r="N56" s="101" cm="1">
        <f t="array" ref="N56">AVERAGE(B56:M56)</f>
        <v>50</v>
      </c>
      <c r="O56" s="102"/>
    </row>
    <row r="57" ht="15" customHeight="1">
      <c r="A57" t="s" s="33">
        <v>125</v>
      </c>
      <c r="B57" s="35"/>
      <c r="C57" s="35"/>
      <c r="D57" s="35"/>
      <c r="E57" s="35"/>
      <c r="F57" s="35"/>
      <c r="G57" s="35"/>
      <c r="H57" s="35"/>
      <c r="I57" s="35"/>
      <c r="J57" s="35"/>
      <c r="K57" s="35"/>
      <c r="L57" s="17">
        <v>40</v>
      </c>
      <c r="M57" s="17">
        <v>35</v>
      </c>
      <c r="N57" s="101" cm="1">
        <f t="array" ref="N57">AVERAGE(B57:M57)</f>
        <v>37.5</v>
      </c>
      <c r="O57" s="102"/>
    </row>
    <row r="58" ht="15" customHeight="1">
      <c r="A58" t="s" s="33">
        <v>22</v>
      </c>
      <c r="B58" s="17" cm="1">
        <f t="array" ref="B58">SUM(B50:B57)</f>
        <v>270</v>
      </c>
      <c r="C58" s="17" cm="1">
        <f t="array" ref="C58">SUM(C50:C57)</f>
        <v>523</v>
      </c>
      <c r="D58" s="17" cm="1">
        <f t="array" ref="D58">SUM(D50:D57)</f>
        <v>989</v>
      </c>
      <c r="E58" s="17" cm="1">
        <f t="array" ref="E58">SUM(E50:E57)</f>
        <v>533</v>
      </c>
      <c r="F58" s="17" cm="1">
        <f t="array" ref="F58">SUM(F50:F57)</f>
        <v>635</v>
      </c>
      <c r="G58" s="17" cm="1">
        <f t="array" ref="G58">SUM(G50:G57)</f>
        <v>817</v>
      </c>
      <c r="H58" s="17" cm="1">
        <f t="array" ref="H58">SUM(H50:H57)</f>
        <v>590</v>
      </c>
      <c r="I58" s="17" cm="1">
        <f t="array" ref="I58">SUM(I50:I57)</f>
        <v>621</v>
      </c>
      <c r="J58" s="17" cm="1">
        <f t="array" ref="J58">SUM(J50:J57)</f>
        <v>659</v>
      </c>
      <c r="K58" s="17" cm="1">
        <f t="array" ref="K58">SUM(K50:K57)</f>
        <v>606</v>
      </c>
      <c r="L58" s="17" cm="1">
        <f t="array" ref="L58">SUM(L50:L57)</f>
        <v>740</v>
      </c>
      <c r="M58" s="17" cm="1">
        <f t="array" ref="M58">SUM(M50:M57)</f>
        <v>371</v>
      </c>
      <c r="N58" s="101" cm="1">
        <f t="array" ref="N58">AVERAGE(B58:M58)</f>
        <v>612.833333333333</v>
      </c>
      <c r="O58" s="102"/>
    </row>
    <row r="59" ht="15" customHeight="1">
      <c r="A59" s="37"/>
      <c r="B59" s="30"/>
      <c r="C59" s="41"/>
      <c r="D59" s="41"/>
      <c r="E59" s="41"/>
      <c r="F59" s="41"/>
      <c r="G59" s="30"/>
      <c r="H59" s="30"/>
      <c r="I59" s="30"/>
      <c r="J59" s="30"/>
      <c r="K59" s="30"/>
      <c r="L59" s="30"/>
      <c r="M59" s="30"/>
      <c r="N59" s="11"/>
      <c r="O59" s="11"/>
    </row>
    <row r="60" ht="15" customHeight="1">
      <c r="A60" s="37"/>
      <c r="B60" s="11"/>
      <c r="C60" s="41"/>
      <c r="D60" s="41"/>
      <c r="E60" s="41"/>
      <c r="F60" s="41"/>
      <c r="G60" s="11"/>
      <c r="H60" s="11"/>
      <c r="I60" s="85">
        <v>42948</v>
      </c>
      <c r="J60" s="86">
        <v>42979</v>
      </c>
      <c r="K60" s="86">
        <v>43009</v>
      </c>
      <c r="L60" s="11"/>
      <c r="M60" s="11"/>
      <c r="N60" s="11"/>
      <c r="O60" s="11"/>
    </row>
    <row r="61" ht="15" customHeight="1">
      <c r="A61" t="s" s="87">
        <v>102</v>
      </c>
      <c r="B61" s="11"/>
      <c r="C61" s="41"/>
      <c r="D61" s="41"/>
      <c r="E61" s="41"/>
      <c r="F61" s="41"/>
      <c r="G61" s="11"/>
      <c r="H61" s="11"/>
      <c r="I61" s="11"/>
      <c r="J61" s="11"/>
      <c r="K61" s="11"/>
      <c r="L61" s="11"/>
      <c r="M61" s="11"/>
      <c r="N61" s="11"/>
      <c r="O61" s="11"/>
    </row>
    <row r="62" ht="15" customHeight="1">
      <c r="A62" t="s" s="87">
        <v>103</v>
      </c>
      <c r="B62" s="103">
        <v>150</v>
      </c>
      <c r="C62" s="104">
        <v>125</v>
      </c>
      <c r="D62" s="104">
        <v>122</v>
      </c>
      <c r="E62" s="41"/>
      <c r="F62" s="104">
        <v>91</v>
      </c>
      <c r="G62" s="12"/>
      <c r="H62" s="103">
        <v>90</v>
      </c>
      <c r="I62" s="103">
        <v>95</v>
      </c>
      <c r="J62" s="103">
        <v>90</v>
      </c>
      <c r="K62" s="103">
        <v>105</v>
      </c>
      <c r="L62" s="103">
        <v>116</v>
      </c>
      <c r="M62" s="103">
        <v>126</v>
      </c>
      <c r="N62" s="11"/>
      <c r="O62" s="11"/>
    </row>
    <row r="63" ht="15" customHeight="1">
      <c r="A63" t="s" s="87">
        <v>104</v>
      </c>
      <c r="B63" s="103">
        <v>120</v>
      </c>
      <c r="C63" s="104" cm="1">
        <f t="array" ref="C63">156</f>
        <v>156</v>
      </c>
      <c r="D63" s="104">
        <v>126</v>
      </c>
      <c r="E63" s="41"/>
      <c r="F63" s="104">
        <v>92</v>
      </c>
      <c r="G63" s="12"/>
      <c r="H63" s="103" cm="1">
        <f t="array" ref="H63">45+45</f>
        <v>90</v>
      </c>
      <c r="I63" s="103" cm="1">
        <f t="array" ref="I63">40+50</f>
        <v>90</v>
      </c>
      <c r="J63" s="103" cm="1">
        <f t="array" ref="J63">50+60</f>
        <v>110</v>
      </c>
      <c r="K63" s="103" cm="1">
        <f t="array" ref="K63">37+54</f>
        <v>91</v>
      </c>
      <c r="L63" s="103" cm="1">
        <f t="array" ref="L63">35+60</f>
        <v>95</v>
      </c>
      <c r="M63" s="103" cm="1">
        <f t="array" ref="M63">66+94</f>
        <v>160</v>
      </c>
      <c r="N63" s="11"/>
      <c r="O63" s="11"/>
    </row>
    <row r="64" ht="15" customHeight="1">
      <c r="A64" s="37"/>
      <c r="B64" s="12"/>
      <c r="C64" s="41"/>
      <c r="D64" s="41"/>
      <c r="E64" s="41"/>
      <c r="F64" s="41"/>
      <c r="G64" s="12"/>
      <c r="H64" s="12"/>
      <c r="I64" s="12"/>
      <c r="J64" s="12"/>
      <c r="K64" s="12"/>
      <c r="L64" s="12"/>
      <c r="M64" s="12"/>
      <c r="N64" s="11"/>
      <c r="O64" s="11"/>
    </row>
    <row r="65" ht="15" customHeight="1">
      <c r="A65" t="s" s="87">
        <v>105</v>
      </c>
      <c r="B65" s="12"/>
      <c r="C65" s="41"/>
      <c r="D65" s="41"/>
      <c r="E65" s="41"/>
      <c r="F65" s="41"/>
      <c r="G65" s="12"/>
      <c r="H65" s="12"/>
      <c r="I65" s="12"/>
      <c r="J65" s="12"/>
      <c r="K65" s="12"/>
      <c r="L65" s="12"/>
      <c r="M65" s="12"/>
      <c r="N65" s="11"/>
      <c r="O65" s="11"/>
    </row>
    <row r="66" ht="15" customHeight="1">
      <c r="A66" t="s" s="87">
        <v>103</v>
      </c>
      <c r="B66" s="103">
        <v>140</v>
      </c>
      <c r="C66" s="104">
        <v>120</v>
      </c>
      <c r="D66" s="104">
        <v>120</v>
      </c>
      <c r="E66" s="41"/>
      <c r="F66" s="104">
        <v>100</v>
      </c>
      <c r="G66" s="12"/>
      <c r="H66" s="12"/>
      <c r="I66" s="12"/>
      <c r="J66" s="12"/>
      <c r="K66" s="12"/>
      <c r="L66" s="12"/>
      <c r="M66" s="103">
        <v>108</v>
      </c>
      <c r="N66" s="11"/>
      <c r="O66" s="11"/>
    </row>
    <row r="67" ht="15" customHeight="1">
      <c r="A67" t="s" s="87">
        <v>106</v>
      </c>
      <c r="B67" s="12"/>
      <c r="C67" s="104">
        <v>100</v>
      </c>
      <c r="D67" s="104">
        <v>105</v>
      </c>
      <c r="E67" s="41"/>
      <c r="F67" s="104">
        <v>55</v>
      </c>
      <c r="G67" s="12"/>
      <c r="H67" s="12"/>
      <c r="I67" s="12"/>
      <c r="J67" s="12"/>
      <c r="K67" s="12"/>
      <c r="L67" s="12"/>
      <c r="M67" s="103" cm="1">
        <f t="array" ref="M67">56+71</f>
        <v>127</v>
      </c>
      <c r="N67" s="11"/>
      <c r="O67" s="11"/>
    </row>
    <row r="68" ht="15" customHeight="1">
      <c r="A68" t="s" s="87">
        <v>107</v>
      </c>
      <c r="B68" s="11"/>
      <c r="C68" s="41"/>
      <c r="D68" s="41"/>
      <c r="E68" s="41"/>
      <c r="F68" s="104">
        <v>45</v>
      </c>
      <c r="G68" s="11"/>
      <c r="H68" s="11"/>
      <c r="I68" s="11"/>
      <c r="J68" s="11"/>
      <c r="K68" s="11"/>
      <c r="L68" s="11"/>
      <c r="M68" s="11"/>
      <c r="N68" s="11"/>
      <c r="O68" s="11"/>
    </row>
    <row r="69" ht="15" customHeight="1">
      <c r="A69" s="37"/>
      <c r="B69" s="13"/>
      <c r="C69" s="41"/>
      <c r="D69" s="41"/>
      <c r="E69" s="41"/>
      <c r="F69" s="41"/>
      <c r="G69" s="13"/>
      <c r="H69" s="13"/>
      <c r="I69" s="13"/>
      <c r="J69" s="13"/>
      <c r="K69" s="13"/>
      <c r="L69" s="13"/>
      <c r="M69" s="13"/>
      <c r="N69" s="11"/>
      <c r="O69" s="11"/>
    </row>
    <row r="70" ht="15" customHeight="1">
      <c r="A70" t="s" s="88">
        <v>108</v>
      </c>
      <c r="B70" t="s" s="14">
        <v>9</v>
      </c>
      <c r="C70" t="s" s="14">
        <v>10</v>
      </c>
      <c r="D70" t="s" s="14">
        <v>11</v>
      </c>
      <c r="E70" t="s" s="14">
        <v>12</v>
      </c>
      <c r="F70" t="s" s="14">
        <v>13</v>
      </c>
      <c r="G70" t="s" s="14">
        <v>14</v>
      </c>
      <c r="H70" t="s" s="14">
        <v>15</v>
      </c>
      <c r="I70" t="s" s="14">
        <v>16</v>
      </c>
      <c r="J70" t="s" s="14">
        <v>17</v>
      </c>
      <c r="K70" t="s" s="14">
        <v>18</v>
      </c>
      <c r="L70" t="s" s="14">
        <v>19</v>
      </c>
      <c r="M70" t="s" s="14">
        <v>20</v>
      </c>
      <c r="N70" s="36"/>
      <c r="O70" s="11"/>
    </row>
    <row r="71" ht="15" customHeight="1">
      <c r="A71" t="s" s="33">
        <v>109</v>
      </c>
      <c r="B71" s="17">
        <v>13</v>
      </c>
      <c r="C71" s="17">
        <v>13</v>
      </c>
      <c r="D71" s="17">
        <v>12</v>
      </c>
      <c r="E71" s="17">
        <v>16</v>
      </c>
      <c r="F71" s="17">
        <v>13</v>
      </c>
      <c r="G71" s="17">
        <v>14</v>
      </c>
      <c r="H71" s="17">
        <v>11</v>
      </c>
      <c r="I71" s="17">
        <v>17</v>
      </c>
      <c r="J71" s="17">
        <v>12</v>
      </c>
      <c r="K71" s="17">
        <v>12</v>
      </c>
      <c r="L71" s="17">
        <v>17</v>
      </c>
      <c r="M71" s="17">
        <v>13</v>
      </c>
      <c r="N71" s="67" cm="1">
        <f t="array" ref="N71">SUM(B71:M71)</f>
        <v>163</v>
      </c>
      <c r="O71" s="11"/>
    </row>
    <row r="72" ht="15" customHeight="1">
      <c r="A72" t="s" s="33">
        <v>110</v>
      </c>
      <c r="B72" s="17">
        <v>37</v>
      </c>
      <c r="C72" s="17">
        <v>37</v>
      </c>
      <c r="D72" s="17">
        <v>37</v>
      </c>
      <c r="E72" s="17">
        <v>52</v>
      </c>
      <c r="F72" s="17">
        <v>33</v>
      </c>
      <c r="G72" s="17">
        <v>33</v>
      </c>
      <c r="H72" s="17">
        <v>37</v>
      </c>
      <c r="I72" s="17">
        <v>35</v>
      </c>
      <c r="J72" s="17">
        <v>43</v>
      </c>
      <c r="K72" s="17">
        <v>39</v>
      </c>
      <c r="L72" s="17">
        <v>26</v>
      </c>
      <c r="M72" s="17">
        <v>39</v>
      </c>
      <c r="N72" s="67" cm="1">
        <f t="array" ref="N72">SUM(B72:M72)</f>
        <v>448</v>
      </c>
      <c r="O72" s="11"/>
    </row>
    <row r="73" ht="15" customHeight="1">
      <c r="A73" s="37"/>
      <c r="B73" s="37"/>
      <c r="C73" s="41"/>
      <c r="D73" s="41"/>
      <c r="E73" s="41"/>
      <c r="F73" s="41"/>
      <c r="G73" s="37"/>
      <c r="H73" s="37"/>
      <c r="I73" s="37"/>
      <c r="J73" s="37"/>
      <c r="K73" s="37"/>
      <c r="L73" s="37"/>
      <c r="M73" s="37"/>
      <c r="N73" s="55" cm="1">
        <f t="array" ref="N73">N72+N71</f>
        <v>611</v>
      </c>
      <c r="O73" s="11"/>
    </row>
    <row r="74" ht="15" customHeight="1">
      <c r="A74" t="s" s="32">
        <v>28</v>
      </c>
      <c r="B74" t="s" s="14">
        <v>9</v>
      </c>
      <c r="C74" t="s" s="14">
        <v>10</v>
      </c>
      <c r="D74" t="s" s="14">
        <v>11</v>
      </c>
      <c r="E74" t="s" s="14">
        <v>12</v>
      </c>
      <c r="F74" t="s" s="14">
        <v>13</v>
      </c>
      <c r="G74" t="s" s="14">
        <v>14</v>
      </c>
      <c r="H74" t="s" s="14">
        <v>15</v>
      </c>
      <c r="I74" t="s" s="14">
        <v>16</v>
      </c>
      <c r="J74" t="s" s="14">
        <v>17</v>
      </c>
      <c r="K74" t="s" s="14">
        <v>18</v>
      </c>
      <c r="L74" t="s" s="14">
        <v>19</v>
      </c>
      <c r="M74" t="s" s="14">
        <v>20</v>
      </c>
      <c r="N74" s="36"/>
      <c r="O74" s="11"/>
    </row>
    <row r="75" ht="15" customHeight="1">
      <c r="A75" t="s" s="42">
        <v>45</v>
      </c>
      <c r="B75" s="69" cm="1">
        <f t="array" ref="B75">B58/B31</f>
        <v>0.165644171779141</v>
      </c>
      <c r="C75" s="69" cm="1">
        <f t="array" ref="C75">C58/C31</f>
        <v>0.280692338655575</v>
      </c>
      <c r="D75" s="69" cm="1">
        <f t="array" ref="D75">D58/D31</f>
        <v>0.6367294382745859</v>
      </c>
      <c r="E75" s="69" cm="1">
        <f t="array" ref="E75">E58/E31</f>
        <v>0.42483660130719</v>
      </c>
      <c r="F75" s="69" cm="1">
        <f t="array" ref="F75">F58/F31</f>
        <v>0.449001237404985</v>
      </c>
      <c r="G75" s="69" cm="1">
        <f t="array" ref="G75">G58/G31</f>
        <v>0.64191710862306</v>
      </c>
      <c r="H75" s="69" cm="1">
        <f t="array" ref="H75">H58/H31</f>
        <v>0.422575562240367</v>
      </c>
      <c r="I75" s="69" cm="1">
        <f t="array" ref="I75">I58/I31</f>
        <v>0.417549167927383</v>
      </c>
      <c r="J75" s="69" cm="1">
        <f t="array" ref="J75">J58/J31</f>
        <v>0.46877222933561</v>
      </c>
      <c r="K75" s="43" cm="1">
        <f t="array" ref="K75">K58/K31</f>
        <v>0.416781292984869</v>
      </c>
      <c r="L75" s="43" cm="1">
        <f t="array" ref="L75">L58/L31</f>
        <v>0.502120441051739</v>
      </c>
      <c r="M75" s="43" cm="1">
        <f t="array" ref="M75">M58/M31</f>
        <v>0.28316287589681</v>
      </c>
      <c r="N75" s="11"/>
      <c r="O75" s="11"/>
    </row>
    <row r="76" ht="15" customHeight="1">
      <c r="A76" s="11"/>
      <c r="B76" s="11"/>
      <c r="C76" s="12"/>
      <c r="D76" s="12"/>
      <c r="E76" s="12"/>
      <c r="F76" s="12"/>
      <c r="G76" s="11"/>
      <c r="H76" s="11"/>
      <c r="I76" s="11"/>
      <c r="J76" s="11"/>
      <c r="K76" s="11"/>
      <c r="L76" s="11"/>
      <c r="M76" s="11"/>
      <c r="N76" s="11"/>
      <c r="O76" s="11"/>
    </row>
    <row r="77" ht="15" customHeight="1">
      <c r="A77" s="13"/>
      <c r="B77" s="13"/>
      <c r="C77" s="44"/>
      <c r="D77" s="44"/>
      <c r="E77" s="44"/>
      <c r="F77" s="44"/>
      <c r="G77" s="13"/>
      <c r="H77" s="13"/>
      <c r="I77" s="13"/>
      <c r="J77" s="13"/>
      <c r="K77" s="13"/>
      <c r="L77" s="13"/>
      <c r="M77" s="13"/>
      <c r="N77" s="11"/>
      <c r="O77" s="11"/>
    </row>
    <row r="78" ht="15" customHeight="1">
      <c r="A78" t="s" s="32">
        <v>46</v>
      </c>
      <c r="B78" t="s" s="14">
        <v>9</v>
      </c>
      <c r="C78" t="s" s="14">
        <v>10</v>
      </c>
      <c r="D78" t="s" s="14">
        <v>11</v>
      </c>
      <c r="E78" t="s" s="14">
        <v>12</v>
      </c>
      <c r="F78" t="s" s="14">
        <v>13</v>
      </c>
      <c r="G78" t="s" s="14">
        <v>14</v>
      </c>
      <c r="H78" t="s" s="14">
        <v>15</v>
      </c>
      <c r="I78" t="s" s="14">
        <v>16</v>
      </c>
      <c r="J78" t="s" s="14">
        <v>17</v>
      </c>
      <c r="K78" t="s" s="14">
        <v>18</v>
      </c>
      <c r="L78" t="s" s="14">
        <v>19</v>
      </c>
      <c r="M78" t="s" s="14">
        <v>20</v>
      </c>
      <c r="N78" s="36"/>
      <c r="O78" s="11"/>
    </row>
    <row r="79" ht="15" customHeight="1">
      <c r="A79" t="s" s="87">
        <v>47</v>
      </c>
      <c r="B79" s="41"/>
      <c r="C79" s="41"/>
      <c r="D79" s="89"/>
      <c r="E79" s="89"/>
      <c r="F79" s="89"/>
      <c r="G79" s="105">
        <v>65</v>
      </c>
      <c r="H79" s="89"/>
      <c r="I79" s="89"/>
      <c r="J79" s="89"/>
      <c r="K79" s="89"/>
      <c r="L79" s="89"/>
      <c r="M79" s="105">
        <v>87</v>
      </c>
      <c r="N79" s="11"/>
      <c r="O79" s="11"/>
    </row>
    <row r="80" ht="15" customHeight="1">
      <c r="A80" t="s" s="42">
        <v>126</v>
      </c>
      <c r="B80" s="89"/>
      <c r="C80" s="89"/>
      <c r="D80" s="12"/>
      <c r="E80" s="12"/>
      <c r="F80" s="12"/>
      <c r="G80" s="12"/>
      <c r="H80" s="12"/>
      <c r="I80" s="12"/>
      <c r="J80" s="12"/>
      <c r="K80" s="12"/>
      <c r="L80" s="12"/>
      <c r="M80" s="103">
        <v>22</v>
      </c>
      <c r="N80" s="11"/>
      <c r="O80" s="11"/>
    </row>
    <row r="81" ht="15" customHeight="1">
      <c r="A81" t="s" s="54">
        <v>48</v>
      </c>
      <c r="B81" s="12"/>
      <c r="C81" s="12"/>
      <c r="D81" s="12"/>
      <c r="E81" s="12"/>
      <c r="F81" s="12"/>
      <c r="G81" s="103">
        <v>48</v>
      </c>
      <c r="H81" s="12"/>
      <c r="I81" s="12"/>
      <c r="J81" s="12"/>
      <c r="K81" s="12"/>
      <c r="L81" s="12"/>
      <c r="M81" s="103">
        <v>50</v>
      </c>
      <c r="N81" s="11"/>
      <c r="O81" s="11"/>
    </row>
    <row r="82" ht="15" customHeight="1">
      <c r="A82" t="s" s="54">
        <v>49</v>
      </c>
      <c r="B82" s="103">
        <v>28</v>
      </c>
      <c r="C82" s="103">
        <v>28</v>
      </c>
      <c r="D82" s="103">
        <v>25</v>
      </c>
      <c r="E82" s="103">
        <v>25</v>
      </c>
      <c r="F82" s="103">
        <v>25</v>
      </c>
      <c r="G82" s="103">
        <v>25</v>
      </c>
      <c r="H82" s="103">
        <v>22</v>
      </c>
      <c r="I82" s="103">
        <v>22</v>
      </c>
      <c r="J82" s="103">
        <v>22</v>
      </c>
      <c r="K82" s="103">
        <v>22</v>
      </c>
      <c r="L82" s="103">
        <v>22</v>
      </c>
      <c r="M82" s="103">
        <v>22</v>
      </c>
      <c r="N82" s="11"/>
      <c r="O82" s="11"/>
    </row>
    <row r="83" ht="15" customHeight="1">
      <c r="A83" t="s" s="54">
        <v>50</v>
      </c>
      <c r="B83" s="12"/>
      <c r="C83" s="12"/>
      <c r="D83" s="12"/>
      <c r="E83" s="12"/>
      <c r="F83" s="12"/>
      <c r="G83" s="103">
        <v>29</v>
      </c>
      <c r="H83" s="12"/>
      <c r="I83" s="12"/>
      <c r="J83" s="12"/>
      <c r="K83" s="12"/>
      <c r="L83" s="12"/>
      <c r="M83" s="103">
        <v>32</v>
      </c>
      <c r="N83" s="11"/>
      <c r="O83" s="11"/>
    </row>
    <row r="84" ht="15" customHeight="1">
      <c r="A84" t="s" s="54">
        <v>33</v>
      </c>
      <c r="B84" s="12"/>
      <c r="C84" s="12"/>
      <c r="D84" s="12"/>
      <c r="E84" s="12"/>
      <c r="F84" s="12"/>
      <c r="G84" s="103">
        <v>98</v>
      </c>
      <c r="H84" s="12"/>
      <c r="I84" s="12"/>
      <c r="J84" s="12"/>
      <c r="K84" s="12"/>
      <c r="L84" s="12"/>
      <c r="M84" s="103">
        <v>103</v>
      </c>
      <c r="N84" s="11"/>
      <c r="O84" s="11"/>
    </row>
    <row r="85" ht="15" customHeight="1">
      <c r="A85" t="s" s="54">
        <v>54</v>
      </c>
      <c r="B85" s="103">
        <v>37</v>
      </c>
      <c r="C85" s="103">
        <v>37</v>
      </c>
      <c r="D85" s="103">
        <v>37</v>
      </c>
      <c r="E85" s="103">
        <v>37</v>
      </c>
      <c r="F85" s="103">
        <v>37</v>
      </c>
      <c r="G85" s="103">
        <v>37</v>
      </c>
      <c r="H85" s="103">
        <v>37</v>
      </c>
      <c r="I85" s="103">
        <v>37</v>
      </c>
      <c r="J85" s="103">
        <v>37</v>
      </c>
      <c r="K85" s="103">
        <v>37</v>
      </c>
      <c r="L85" s="103">
        <v>37</v>
      </c>
      <c r="M85" s="103">
        <v>37</v>
      </c>
      <c r="N85" s="11"/>
      <c r="O85" s="11"/>
    </row>
    <row r="86" ht="15" customHeight="1">
      <c r="A86" t="s" s="54">
        <v>89</v>
      </c>
      <c r="B86" s="12"/>
      <c r="C86" s="12"/>
      <c r="D86" s="12"/>
      <c r="E86" s="12"/>
      <c r="F86" s="12"/>
      <c r="G86" s="12"/>
      <c r="H86" s="12"/>
      <c r="I86" s="12"/>
      <c r="J86" s="12"/>
      <c r="K86" s="12"/>
      <c r="L86" s="12"/>
      <c r="M86" s="12"/>
      <c r="N86" s="11"/>
      <c r="O86" s="11"/>
    </row>
    <row r="87" ht="15" customHeight="1">
      <c r="A87" t="s" s="106">
        <v>51</v>
      </c>
      <c r="B87" s="107">
        <v>53</v>
      </c>
      <c r="C87" s="107">
        <v>53</v>
      </c>
      <c r="D87" s="107">
        <v>53</v>
      </c>
      <c r="E87" s="107">
        <v>53</v>
      </c>
      <c r="F87" s="107">
        <v>54</v>
      </c>
      <c r="G87" s="107">
        <v>55</v>
      </c>
      <c r="H87" s="107">
        <v>55</v>
      </c>
      <c r="I87" s="107">
        <v>56</v>
      </c>
      <c r="J87" s="107">
        <v>59</v>
      </c>
      <c r="K87" s="107">
        <v>56</v>
      </c>
      <c r="L87" s="107">
        <v>52</v>
      </c>
      <c r="M87" s="107">
        <v>55</v>
      </c>
      <c r="N87" s="11"/>
      <c r="O87" s="11"/>
    </row>
    <row r="88" ht="15" customHeight="1">
      <c r="A88" t="s" s="54">
        <v>41</v>
      </c>
      <c r="B88" s="103">
        <v>8</v>
      </c>
      <c r="C88" s="103">
        <v>8</v>
      </c>
      <c r="D88" s="103">
        <v>9</v>
      </c>
      <c r="E88" s="103">
        <v>9</v>
      </c>
      <c r="F88" s="103">
        <v>9</v>
      </c>
      <c r="G88" s="103">
        <v>9</v>
      </c>
      <c r="H88" s="103">
        <v>9</v>
      </c>
      <c r="I88" s="103">
        <v>9</v>
      </c>
      <c r="J88" s="103">
        <v>9</v>
      </c>
      <c r="K88" s="103">
        <v>9</v>
      </c>
      <c r="L88" s="103">
        <v>9</v>
      </c>
      <c r="M88" s="103">
        <v>9</v>
      </c>
      <c r="N88" s="11"/>
      <c r="O88" s="11"/>
    </row>
    <row r="89" ht="15" customHeight="1">
      <c r="A89" t="s" s="54">
        <v>40</v>
      </c>
      <c r="B89" s="103" cm="1">
        <f t="array" ref="B89">27*2</f>
        <v>54</v>
      </c>
      <c r="C89" s="103" cm="1">
        <f t="array" ref="C89">27*2</f>
        <v>54</v>
      </c>
      <c r="D89" s="103" cm="1">
        <f t="array" ref="D89">27*2</f>
        <v>54</v>
      </c>
      <c r="E89" s="103" cm="1">
        <f t="array" ref="E89">27*2</f>
        <v>54</v>
      </c>
      <c r="F89" s="103" cm="1">
        <f t="array" ref="F89">27*2</f>
        <v>54</v>
      </c>
      <c r="G89" s="103" cm="1">
        <f t="array" ref="G89">27*2</f>
        <v>54</v>
      </c>
      <c r="H89" s="103" cm="1">
        <f t="array" ref="H89">27*2</f>
        <v>54</v>
      </c>
      <c r="I89" s="103" cm="1">
        <f t="array" ref="I89">27*2</f>
        <v>54</v>
      </c>
      <c r="J89" s="103" cm="1">
        <f t="array" ref="J89">27*2</f>
        <v>54</v>
      </c>
      <c r="K89" s="103" cm="1">
        <f t="array" ref="K89">27*2</f>
        <v>54</v>
      </c>
      <c r="L89" s="103" cm="1">
        <f t="array" ref="L89">27*2</f>
        <v>54</v>
      </c>
      <c r="M89" s="103" cm="1">
        <f t="array" ref="M89">27*2</f>
        <v>54</v>
      </c>
      <c r="N89" s="11"/>
      <c r="O89" s="11"/>
    </row>
    <row r="90" ht="15" customHeight="1">
      <c r="A90" t="s" s="54">
        <v>52</v>
      </c>
      <c r="B90" s="12"/>
      <c r="C90" s="12"/>
      <c r="D90" s="12"/>
      <c r="E90" s="12"/>
      <c r="F90" s="12"/>
      <c r="G90" s="103">
        <v>104</v>
      </c>
      <c r="H90" s="12"/>
      <c r="I90" s="12"/>
      <c r="J90" s="12"/>
      <c r="K90" s="12"/>
      <c r="L90" s="12"/>
      <c r="M90" s="103">
        <v>109</v>
      </c>
      <c r="N90" s="11"/>
      <c r="O90" s="11"/>
    </row>
    <row r="91" ht="15" customHeight="1">
      <c r="A91" t="s" s="54">
        <v>53</v>
      </c>
      <c r="B91" s="12"/>
      <c r="C91" s="12"/>
      <c r="D91" s="103">
        <v>23</v>
      </c>
      <c r="E91" s="12"/>
      <c r="F91" s="12"/>
      <c r="G91" s="103">
        <v>22</v>
      </c>
      <c r="H91" s="12"/>
      <c r="I91" s="12"/>
      <c r="J91" s="12"/>
      <c r="K91" s="12"/>
      <c r="L91" s="12"/>
      <c r="M91" s="103">
        <v>25</v>
      </c>
      <c r="N91" s="11"/>
      <c r="O91" s="11"/>
    </row>
    <row r="92" ht="15" customHeight="1">
      <c r="A92" t="s" s="54">
        <v>90</v>
      </c>
      <c r="B92" s="12"/>
      <c r="C92" s="12"/>
      <c r="D92" s="12"/>
      <c r="E92" s="12"/>
      <c r="F92" s="12"/>
      <c r="G92" s="103">
        <v>18</v>
      </c>
      <c r="H92" s="12"/>
      <c r="I92" s="12"/>
      <c r="J92" s="12"/>
      <c r="K92" s="12"/>
      <c r="L92" s="12"/>
      <c r="M92" s="103">
        <v>18</v>
      </c>
      <c r="N92" s="11"/>
      <c r="O92" s="11"/>
    </row>
    <row r="93" ht="15" customHeight="1">
      <c r="A93" t="s" s="54">
        <v>88</v>
      </c>
      <c r="B93" s="12"/>
      <c r="C93" s="12"/>
      <c r="D93" s="103">
        <v>12</v>
      </c>
      <c r="E93" s="12"/>
      <c r="F93" s="12"/>
      <c r="G93" s="103">
        <v>12</v>
      </c>
      <c r="H93" s="12"/>
      <c r="I93" s="12"/>
      <c r="J93" s="12"/>
      <c r="K93" s="12"/>
      <c r="L93" s="12"/>
      <c r="M93" s="103">
        <v>9</v>
      </c>
      <c r="N93" s="11"/>
      <c r="O93" s="11"/>
    </row>
    <row r="94" ht="15" customHeight="1">
      <c r="A94" t="s" s="54">
        <v>111</v>
      </c>
      <c r="B94" s="12"/>
      <c r="C94" s="12"/>
      <c r="D94" s="12"/>
      <c r="E94" s="12"/>
      <c r="F94" s="12"/>
      <c r="G94" s="103">
        <v>3</v>
      </c>
      <c r="H94" s="12"/>
      <c r="I94" s="12"/>
      <c r="J94" s="12"/>
      <c r="K94" s="12"/>
      <c r="L94" s="12"/>
      <c r="M94" s="103">
        <v>6</v>
      </c>
      <c r="N94" s="11"/>
      <c r="O94" s="11"/>
    </row>
    <row r="95" ht="15" customHeight="1">
      <c r="A95" t="s" s="54">
        <v>112</v>
      </c>
      <c r="B95" s="12"/>
      <c r="C95" s="12"/>
      <c r="D95" s="12"/>
      <c r="E95" s="12"/>
      <c r="F95" s="12"/>
      <c r="G95" s="103">
        <v>22</v>
      </c>
      <c r="H95" s="12"/>
      <c r="I95" s="12"/>
      <c r="J95" s="12"/>
      <c r="K95" s="12"/>
      <c r="L95" s="12"/>
      <c r="M95" s="103">
        <v>25</v>
      </c>
      <c r="N95" s="11"/>
      <c r="O95" s="11"/>
    </row>
    <row r="96" ht="15" customHeight="1">
      <c r="A96" t="s" s="54">
        <v>127</v>
      </c>
      <c r="B96" s="12"/>
      <c r="C96" s="12"/>
      <c r="D96" s="12"/>
      <c r="E96" s="12"/>
      <c r="F96" s="12"/>
      <c r="G96" s="103">
        <v>14</v>
      </c>
      <c r="H96" s="12"/>
      <c r="I96" s="12"/>
      <c r="J96" s="12"/>
      <c r="K96" s="12"/>
      <c r="L96" s="12"/>
      <c r="M96" s="103">
        <v>19</v>
      </c>
      <c r="N96" s="11"/>
      <c r="O96" s="11"/>
    </row>
    <row r="97" ht="15" customHeight="1">
      <c r="A97" t="s" s="54">
        <v>113</v>
      </c>
      <c r="B97" s="12"/>
      <c r="C97" s="12"/>
      <c r="D97" s="12"/>
      <c r="E97" s="12"/>
      <c r="F97" s="12"/>
      <c r="G97" s="12"/>
      <c r="H97" s="12"/>
      <c r="I97" s="12"/>
      <c r="J97" s="12"/>
      <c r="K97" s="12"/>
      <c r="L97" s="12"/>
      <c r="M97" s="103">
        <v>37</v>
      </c>
      <c r="N97" s="11"/>
      <c r="O97" s="11"/>
    </row>
    <row r="98" ht="15" customHeight="1">
      <c r="A98" t="s" s="54">
        <v>125</v>
      </c>
      <c r="B98" s="12"/>
      <c r="C98" s="12"/>
      <c r="D98" s="12"/>
      <c r="E98" s="12"/>
      <c r="F98" s="12"/>
      <c r="G98" s="12"/>
      <c r="H98" s="12"/>
      <c r="I98" s="12"/>
      <c r="J98" s="12"/>
      <c r="K98" s="12"/>
      <c r="L98" s="103">
        <v>2</v>
      </c>
      <c r="M98" s="103">
        <v>2</v>
      </c>
      <c r="N98" s="11"/>
      <c r="O98" s="11"/>
    </row>
    <row r="99" ht="15" customHeight="1">
      <c r="A99" t="s" s="54">
        <v>22</v>
      </c>
      <c r="B99" s="103" cm="1">
        <f t="array" ref="B99">SUM(B79:B98)</f>
        <v>180</v>
      </c>
      <c r="C99" s="103" cm="1">
        <f t="array" ref="C99">SUM(C79:C98)</f>
        <v>180</v>
      </c>
      <c r="D99" s="103" cm="1">
        <f t="array" ref="D99">SUM(D79:D98)</f>
        <v>213</v>
      </c>
      <c r="E99" s="103" cm="1">
        <f t="array" ref="E99">SUM(E79:E98)</f>
        <v>178</v>
      </c>
      <c r="F99" s="103" cm="1">
        <f t="array" ref="F99">SUM(F79:F98)</f>
        <v>179</v>
      </c>
      <c r="G99" s="103" cm="1">
        <f t="array" ref="G99">SUM(G79:G98)</f>
        <v>615</v>
      </c>
      <c r="H99" s="103" cm="1">
        <f t="array" ref="H99">SUM(H79:H98)</f>
        <v>177</v>
      </c>
      <c r="I99" s="103" cm="1">
        <f t="array" ref="I99">SUM(I79:I98)</f>
        <v>178</v>
      </c>
      <c r="J99" s="103" cm="1">
        <f t="array" ref="J99">SUM(J79:J98)</f>
        <v>181</v>
      </c>
      <c r="K99" s="103" cm="1">
        <f t="array" ref="K99">SUM(K79:K98)</f>
        <v>178</v>
      </c>
      <c r="L99" s="103" cm="1">
        <f t="array" ref="L99">SUM(L79:L98)</f>
        <v>176</v>
      </c>
      <c r="M99" s="103" cm="1">
        <f t="array" ref="M99">SUM(M79:M98)</f>
        <v>721</v>
      </c>
      <c r="N99" s="11"/>
      <c r="O99" s="11"/>
    </row>
    <row r="100" ht="15" customHeight="1">
      <c r="A100" s="13"/>
      <c r="B100" s="13"/>
      <c r="C100" s="13"/>
      <c r="D100" s="13"/>
      <c r="E100" s="13"/>
      <c r="F100" s="13"/>
      <c r="G100" s="13"/>
      <c r="H100" s="13"/>
      <c r="I100" s="13"/>
      <c r="J100" s="13"/>
      <c r="K100" s="13"/>
      <c r="L100" s="13"/>
      <c r="M100" s="13"/>
      <c r="N100" s="11"/>
      <c r="O100" s="11"/>
    </row>
    <row r="101" ht="15" customHeight="1">
      <c r="A101" t="s" s="32">
        <v>28</v>
      </c>
      <c r="B101" t="s" s="14">
        <v>9</v>
      </c>
      <c r="C101" t="s" s="14">
        <v>10</v>
      </c>
      <c r="D101" t="s" s="14">
        <v>11</v>
      </c>
      <c r="E101" t="s" s="14">
        <v>12</v>
      </c>
      <c r="F101" t="s" s="14">
        <v>13</v>
      </c>
      <c r="G101" t="s" s="14">
        <v>14</v>
      </c>
      <c r="H101" t="s" s="14">
        <v>15</v>
      </c>
      <c r="I101" t="s" s="14">
        <v>16</v>
      </c>
      <c r="J101" t="s" s="14">
        <v>17</v>
      </c>
      <c r="K101" t="s" s="14">
        <v>18</v>
      </c>
      <c r="L101" t="s" s="14">
        <v>19</v>
      </c>
      <c r="M101" t="s" s="14">
        <v>20</v>
      </c>
      <c r="N101" s="36"/>
      <c r="O101" s="11"/>
    </row>
    <row r="102" ht="15" customHeight="1">
      <c r="A102" t="s" s="42">
        <v>56</v>
      </c>
      <c r="B102" s="23" cm="1">
        <f t="array" ref="B102">B10</f>
        <v>174145693</v>
      </c>
      <c r="C102" s="23" cm="1">
        <f t="array" ref="C102">C10</f>
        <v>169005929</v>
      </c>
      <c r="D102" s="23" cm="1">
        <f t="array" ref="D102">D10</f>
        <v>175458944</v>
      </c>
      <c r="E102" s="23" cm="1">
        <f t="array" ref="E102">E10</f>
        <v>246314217</v>
      </c>
      <c r="F102" s="23" cm="1">
        <f t="array" ref="F102">F10</f>
        <v>162691478</v>
      </c>
      <c r="G102" s="23" cm="1">
        <f t="array" ref="G102">G10</f>
        <v>197931581</v>
      </c>
      <c r="H102" s="23" cm="1">
        <f t="array" ref="H102">H10</f>
        <v>204614712</v>
      </c>
      <c r="I102" s="23" cm="1">
        <f t="array" ref="I102">I10</f>
        <v>178711654</v>
      </c>
      <c r="J102" s="23" cm="1">
        <f t="array" ref="J102">J10</f>
        <v>298362810</v>
      </c>
      <c r="K102" s="23" cm="1">
        <f t="array" ref="K102">K10</f>
        <v>174208614</v>
      </c>
      <c r="L102" s="23" cm="1">
        <f t="array" ref="L102">L10</f>
        <v>166418522</v>
      </c>
      <c r="M102" s="23" cm="1">
        <f t="array" ref="M102">M10</f>
        <v>335284692</v>
      </c>
      <c r="N102" s="11"/>
      <c r="O102" s="11"/>
    </row>
    <row r="103" ht="15" customHeight="1">
      <c r="A103" s="11"/>
      <c r="B103" s="11"/>
      <c r="C103" s="11"/>
      <c r="D103" s="11"/>
      <c r="E103" s="11"/>
      <c r="F103" s="11"/>
      <c r="G103" s="11"/>
      <c r="H103" s="11"/>
      <c r="I103" s="11"/>
      <c r="J103" s="11"/>
      <c r="K103" s="11"/>
      <c r="L103" s="11"/>
      <c r="M103" s="11"/>
      <c r="N103" s="11"/>
      <c r="O103" s="11"/>
    </row>
    <row r="104" ht="15" customHeight="1">
      <c r="A104" s="11"/>
      <c r="B104" s="11"/>
      <c r="C104" s="11"/>
      <c r="D104" s="11"/>
      <c r="E104" s="11"/>
      <c r="F104" s="11"/>
      <c r="G104" s="11"/>
      <c r="H104" s="11"/>
      <c r="I104" s="11"/>
      <c r="J104" s="11"/>
      <c r="K104" s="11"/>
      <c r="L104" s="11"/>
      <c r="M104" s="11"/>
      <c r="N104" s="11"/>
      <c r="O104" s="11"/>
    </row>
    <row r="105" ht="15" customHeight="1">
      <c r="A105" s="11"/>
      <c r="B105" s="11"/>
      <c r="C105" s="11"/>
      <c r="D105" s="11"/>
      <c r="E105" s="11"/>
      <c r="F105" s="11"/>
      <c r="G105" s="11"/>
      <c r="H105" s="11"/>
      <c r="I105" s="11"/>
      <c r="J105" s="11"/>
      <c r="K105" s="11"/>
      <c r="L105" s="11"/>
      <c r="M105" s="11"/>
      <c r="N105" s="11"/>
      <c r="O105" s="11"/>
    </row>
    <row r="106" ht="15" customHeight="1">
      <c r="A106" s="11"/>
      <c r="B106" s="13"/>
      <c r="C106" s="13"/>
      <c r="D106" s="13"/>
      <c r="E106" s="13"/>
      <c r="F106" s="13"/>
      <c r="G106" s="13"/>
      <c r="H106" s="13"/>
      <c r="I106" s="13"/>
      <c r="J106" s="13"/>
      <c r="K106" s="13"/>
      <c r="L106" s="13"/>
      <c r="M106" s="13"/>
      <c r="N106" s="11"/>
      <c r="O106" s="11"/>
    </row>
    <row r="107" ht="15" customHeight="1">
      <c r="A107" t="s" s="108">
        <v>128</v>
      </c>
      <c r="B107" t="s" s="14">
        <v>9</v>
      </c>
      <c r="C107" t="s" s="14">
        <v>10</v>
      </c>
      <c r="D107" t="s" s="14">
        <v>11</v>
      </c>
      <c r="E107" t="s" s="14">
        <v>12</v>
      </c>
      <c r="F107" t="s" s="14">
        <v>13</v>
      </c>
      <c r="G107" t="s" s="14">
        <v>14</v>
      </c>
      <c r="H107" t="s" s="14">
        <v>15</v>
      </c>
      <c r="I107" t="s" s="14">
        <v>16</v>
      </c>
      <c r="J107" t="s" s="14">
        <v>17</v>
      </c>
      <c r="K107" t="s" s="14">
        <v>18</v>
      </c>
      <c r="L107" t="s" s="14">
        <v>19</v>
      </c>
      <c r="M107" t="s" s="14">
        <v>20</v>
      </c>
      <c r="N107" s="36"/>
      <c r="O107" s="11"/>
    </row>
    <row r="108" ht="15" customHeight="1">
      <c r="A108" t="s" s="33">
        <v>39</v>
      </c>
      <c r="B108" s="109"/>
      <c r="C108" s="89"/>
      <c r="D108" s="89"/>
      <c r="E108" s="89"/>
      <c r="F108" s="89"/>
      <c r="G108" s="89"/>
      <c r="H108" s="89"/>
      <c r="I108" s="89"/>
      <c r="J108" s="89"/>
      <c r="K108" s="89"/>
      <c r="L108" s="105">
        <v>235</v>
      </c>
      <c r="M108" s="89"/>
      <c r="N108" s="102" cm="1">
        <f t="array" ref="N108">AVERAGE(B108:M108)</f>
        <v>235</v>
      </c>
      <c r="O108" s="102"/>
    </row>
    <row r="109" ht="15" customHeight="1">
      <c r="A109" t="s" s="33">
        <v>40</v>
      </c>
      <c r="B109" s="110"/>
      <c r="C109" s="103" cm="1">
        <f t="array" ref="C109">73*2</f>
        <v>146</v>
      </c>
      <c r="D109" s="103" cm="1">
        <f t="array" ref="D109">81*2</f>
        <v>162</v>
      </c>
      <c r="E109" s="103" cm="1">
        <f t="array" ref="E109">80*2</f>
        <v>160</v>
      </c>
      <c r="F109" s="103" cm="1">
        <f t="array" ref="F109">92*2</f>
        <v>184</v>
      </c>
      <c r="G109" s="103" cm="1">
        <f t="array" ref="G109">61*2</f>
        <v>122</v>
      </c>
      <c r="H109" s="103" cm="1">
        <f t="array" ref="H109">66*2</f>
        <v>132</v>
      </c>
      <c r="I109" s="103" cm="1">
        <f t="array" ref="I109">72*2</f>
        <v>144</v>
      </c>
      <c r="J109" s="12"/>
      <c r="K109" s="103" cm="1">
        <f t="array" ref="K109">86*2</f>
        <v>172</v>
      </c>
      <c r="L109" s="103" cm="1">
        <f t="array" ref="L109">119*2</f>
        <v>238</v>
      </c>
      <c r="M109" s="12"/>
      <c r="N109" s="102" cm="1">
        <f t="array" ref="N109">AVERAGE(B109:M109)</f>
        <v>162.222222222222</v>
      </c>
      <c r="O109" s="102"/>
    </row>
    <row r="110" ht="15" customHeight="1">
      <c r="A110" t="s" s="33">
        <v>41</v>
      </c>
      <c r="B110" s="110"/>
      <c r="C110" s="12"/>
      <c r="D110" s="12"/>
      <c r="E110" s="12"/>
      <c r="F110" s="12"/>
      <c r="G110" s="12"/>
      <c r="H110" s="103">
        <v>5</v>
      </c>
      <c r="I110" s="103">
        <v>4</v>
      </c>
      <c r="J110" s="103">
        <v>7</v>
      </c>
      <c r="K110" s="12"/>
      <c r="L110" s="12"/>
      <c r="M110" s="12"/>
      <c r="N110" s="102" cm="1">
        <f t="array" ref="N110">AVERAGE(B110:M110)</f>
        <v>5.33333333333333</v>
      </c>
      <c r="O110" s="102"/>
    </row>
    <row r="111" ht="15" customHeight="1">
      <c r="A111" t="s" s="33">
        <v>42</v>
      </c>
      <c r="B111" s="110"/>
      <c r="C111" s="12"/>
      <c r="D111" s="103" cm="1">
        <f t="array" ref="D111">117+53</f>
        <v>170</v>
      </c>
      <c r="E111" s="103" cm="1">
        <f t="array" ref="E111">124+53</f>
        <v>177</v>
      </c>
      <c r="F111" s="103" cm="1">
        <f t="array" ref="F111">93+54</f>
        <v>147</v>
      </c>
      <c r="G111" s="103" cm="1">
        <f t="array" ref="G111">72+55</f>
        <v>127</v>
      </c>
      <c r="H111" s="103" cm="1">
        <f t="array" ref="H111">53+55</f>
        <v>108</v>
      </c>
      <c r="I111" s="103" cm="1">
        <f t="array" ref="I111">60+56</f>
        <v>116</v>
      </c>
      <c r="J111" s="103" cm="1">
        <f t="array" ref="J111">61+59</f>
        <v>120</v>
      </c>
      <c r="K111" s="103" cm="1">
        <f t="array" ref="K111">50+56</f>
        <v>106</v>
      </c>
      <c r="L111" s="103" cm="1">
        <f t="array" ref="L111">53+52</f>
        <v>105</v>
      </c>
      <c r="M111" s="12"/>
      <c r="N111" s="102" cm="1">
        <f t="array" ref="N111">AVERAGE(B111:M111)</f>
        <v>130.666666666667</v>
      </c>
      <c r="O111" s="102"/>
    </row>
    <row r="112" ht="15" customHeight="1">
      <c r="A112" t="s" s="33">
        <v>87</v>
      </c>
      <c r="B112" s="110"/>
      <c r="C112" s="12"/>
      <c r="D112" s="12"/>
      <c r="E112" s="12"/>
      <c r="F112" s="12"/>
      <c r="G112" s="12"/>
      <c r="H112" s="12"/>
      <c r="I112" s="12"/>
      <c r="J112" s="12"/>
      <c r="K112" s="12"/>
      <c r="L112" s="12"/>
      <c r="M112" s="103">
        <v>69</v>
      </c>
      <c r="N112" s="102" cm="1">
        <f t="array" ref="N112">AVERAGE(B112:M112)</f>
        <v>69</v>
      </c>
      <c r="O112" s="102"/>
    </row>
    <row r="113" ht="15" customHeight="1">
      <c r="A113" t="s" s="33">
        <v>88</v>
      </c>
      <c r="B113" s="110"/>
      <c r="C113" s="12"/>
      <c r="D113" s="12"/>
      <c r="E113" s="12"/>
      <c r="F113" s="12"/>
      <c r="G113" s="12"/>
      <c r="H113" s="12"/>
      <c r="I113" s="12"/>
      <c r="J113" s="12"/>
      <c r="K113" s="12"/>
      <c r="L113" s="12"/>
      <c r="M113" s="103">
        <v>9</v>
      </c>
      <c r="N113" s="102" cm="1">
        <f t="array" ref="N113">AVERAGE(B113:M113)</f>
        <v>9</v>
      </c>
      <c r="O113" s="102"/>
    </row>
    <row r="114" ht="15" customHeight="1">
      <c r="A114" t="s" s="33">
        <v>43</v>
      </c>
      <c r="B114" s="110"/>
      <c r="C114" s="103">
        <v>14</v>
      </c>
      <c r="D114" s="103">
        <v>14</v>
      </c>
      <c r="E114" s="103">
        <v>14</v>
      </c>
      <c r="F114" s="103">
        <v>14</v>
      </c>
      <c r="G114" s="103">
        <v>14</v>
      </c>
      <c r="H114" s="103">
        <v>14</v>
      </c>
      <c r="I114" s="103">
        <v>14</v>
      </c>
      <c r="J114" s="103">
        <v>14</v>
      </c>
      <c r="K114" s="103">
        <v>14</v>
      </c>
      <c r="L114" s="103">
        <v>14</v>
      </c>
      <c r="M114" s="103">
        <v>14</v>
      </c>
      <c r="N114" s="102" cm="1">
        <f t="array" ref="N114">AVERAGE(B114:M114)</f>
        <v>14</v>
      </c>
      <c r="O114" s="102"/>
    </row>
    <row r="115" ht="15" customHeight="1">
      <c r="A115" t="s" s="33">
        <v>125</v>
      </c>
      <c r="B115" s="110"/>
      <c r="C115" s="12"/>
      <c r="D115" s="12"/>
      <c r="E115" s="12"/>
      <c r="F115" s="12"/>
      <c r="G115" s="12"/>
      <c r="H115" s="12"/>
      <c r="I115" s="12"/>
      <c r="J115" s="12"/>
      <c r="K115" s="12"/>
      <c r="L115" s="12"/>
      <c r="M115" s="12"/>
      <c r="N115" s="102" cm="1">
        <f t="array" ref="N115">AVERAGE(B115:M115)</f>
      </c>
      <c r="O115" s="102"/>
    </row>
    <row r="116" ht="15" customHeight="1">
      <c r="A116" s="30"/>
      <c r="B116" s="12"/>
      <c r="C116" s="12"/>
      <c r="D116" s="12"/>
      <c r="E116" s="12"/>
      <c r="F116" s="12"/>
      <c r="G116" s="12"/>
      <c r="H116" s="12"/>
      <c r="I116" s="12"/>
      <c r="J116" s="12"/>
      <c r="K116" s="12"/>
      <c r="L116" s="12"/>
      <c r="M116" s="12"/>
      <c r="N116" s="102" cm="1">
        <f t="array" ref="N116">AVERAGE(B116:M116)</f>
      </c>
      <c r="O116" s="102"/>
    </row>
    <row r="117" ht="15" customHeight="1">
      <c r="A117" s="11"/>
      <c r="B117" s="11"/>
      <c r="C117" s="11"/>
      <c r="D117" s="11"/>
      <c r="E117" s="11"/>
      <c r="F117" s="11"/>
      <c r="G117" s="11"/>
      <c r="H117" s="11"/>
      <c r="I117" s="11"/>
      <c r="J117" s="11"/>
      <c r="K117" s="11"/>
      <c r="L117" s="11"/>
      <c r="M117" s="11"/>
      <c r="N117" s="11"/>
      <c r="O117" s="11"/>
    </row>
    <row r="118" ht="15" customHeight="1">
      <c r="A118" s="11"/>
      <c r="B118" s="11"/>
      <c r="C118" s="11"/>
      <c r="D118" s="11"/>
      <c r="E118" s="11"/>
      <c r="F118" s="11"/>
      <c r="G118" s="11"/>
      <c r="H118" s="11"/>
      <c r="I118" s="11"/>
      <c r="J118" s="11"/>
      <c r="K118" s="11"/>
      <c r="L118" s="11"/>
      <c r="M118" s="11"/>
      <c r="N118" s="11"/>
      <c r="O118" s="11"/>
    </row>
    <row r="119" ht="15" customHeight="1">
      <c r="A119" s="11"/>
      <c r="B119" s="11"/>
      <c r="C119" s="11"/>
      <c r="D119" s="11"/>
      <c r="E119" s="11"/>
      <c r="F119" s="11"/>
      <c r="G119" s="11"/>
      <c r="H119" s="11"/>
      <c r="I119" s="11"/>
      <c r="J119" s="11"/>
      <c r="K119" s="11"/>
      <c r="L119" s="11"/>
      <c r="M119" s="11"/>
      <c r="N119" s="11"/>
      <c r="O119" s="11"/>
    </row>
    <row r="120" ht="15" customHeight="1">
      <c r="A120" s="11"/>
      <c r="B120" s="11"/>
      <c r="C120" s="11"/>
      <c r="D120" s="11"/>
      <c r="E120" s="11"/>
      <c r="F120" s="11"/>
      <c r="G120" s="11"/>
      <c r="H120" s="11"/>
      <c r="I120" s="11"/>
      <c r="J120" s="11"/>
      <c r="K120" s="11"/>
      <c r="L120" s="11"/>
      <c r="M120" s="11"/>
      <c r="N120" s="11"/>
      <c r="O120" s="11"/>
    </row>
    <row r="121" ht="15" customHeight="1">
      <c r="A121" s="11"/>
      <c r="B121" s="11"/>
      <c r="C121" s="11"/>
      <c r="D121" s="11"/>
      <c r="E121" s="11"/>
      <c r="F121" s="11"/>
      <c r="G121" s="11"/>
      <c r="H121" s="11"/>
      <c r="I121" s="11"/>
      <c r="J121" s="11"/>
      <c r="K121" s="11"/>
      <c r="L121" s="11"/>
      <c r="M121" s="11"/>
      <c r="N121" s="11"/>
      <c r="O121" s="11"/>
    </row>
    <row r="122" ht="15" customHeight="1">
      <c r="A122" s="11"/>
      <c r="B122" s="11"/>
      <c r="C122" s="11"/>
      <c r="D122" s="11"/>
      <c r="E122" s="11"/>
      <c r="F122" s="11"/>
      <c r="G122" s="11"/>
      <c r="H122" s="11"/>
      <c r="I122" s="11"/>
      <c r="J122" s="11"/>
      <c r="K122" s="11"/>
      <c r="L122" s="11"/>
      <c r="M122" s="11"/>
      <c r="N122" s="11"/>
      <c r="O122" s="11"/>
    </row>
    <row r="123" ht="15" customHeight="1">
      <c r="A123" s="11"/>
      <c r="B123" s="11"/>
      <c r="C123" s="11"/>
      <c r="D123" s="11"/>
      <c r="E123" s="11"/>
      <c r="F123" s="11"/>
      <c r="G123" s="11"/>
      <c r="H123" s="11"/>
      <c r="I123" s="11"/>
      <c r="J123" s="11"/>
      <c r="K123" s="11"/>
      <c r="L123" s="11"/>
      <c r="M123" s="11"/>
      <c r="N123" s="11"/>
      <c r="O123" s="11"/>
    </row>
    <row r="124" ht="15" customHeight="1">
      <c r="A124" s="11"/>
      <c r="B124" s="11"/>
      <c r="C124" s="11"/>
      <c r="D124" s="11"/>
      <c r="E124" s="11"/>
      <c r="F124" s="11"/>
      <c r="G124" s="11"/>
      <c r="H124" s="11"/>
      <c r="I124" s="11"/>
      <c r="J124" s="11"/>
      <c r="K124" s="11"/>
      <c r="L124" s="11"/>
      <c r="M124" s="11"/>
      <c r="N124" s="11"/>
      <c r="O124" s="11"/>
    </row>
    <row r="125" ht="15" customHeight="1">
      <c r="A125" s="11"/>
      <c r="B125" s="11"/>
      <c r="C125" s="11"/>
      <c r="D125" s="11"/>
      <c r="E125" s="11"/>
      <c r="F125" s="11"/>
      <c r="G125" s="11"/>
      <c r="H125" s="11"/>
      <c r="I125" s="11"/>
      <c r="J125" s="11"/>
      <c r="K125" s="11"/>
      <c r="L125" s="11"/>
      <c r="M125" s="11"/>
      <c r="N125" s="11"/>
      <c r="O125" s="11"/>
    </row>
    <row r="126" ht="15" customHeight="1">
      <c r="A126" s="11"/>
      <c r="B126" s="11"/>
      <c r="C126" s="11"/>
      <c r="D126" s="11"/>
      <c r="E126" s="11"/>
      <c r="F126" s="11"/>
      <c r="G126" s="11"/>
      <c r="H126" s="11"/>
      <c r="I126" s="11"/>
      <c r="J126" s="11"/>
      <c r="K126" s="11"/>
      <c r="L126" s="11"/>
      <c r="M126" s="11"/>
      <c r="N126" s="11"/>
      <c r="O126" s="11"/>
    </row>
    <row r="127" ht="15" customHeight="1">
      <c r="A127" s="11"/>
      <c r="B127" s="11"/>
      <c r="C127" s="11"/>
      <c r="D127" s="11"/>
      <c r="E127" s="11"/>
      <c r="F127" s="11"/>
      <c r="G127" s="11"/>
      <c r="H127" s="11"/>
      <c r="I127" s="11"/>
      <c r="J127" s="11"/>
      <c r="K127" s="11"/>
      <c r="L127" s="11"/>
      <c r="M127" s="11"/>
      <c r="N127" s="11"/>
      <c r="O127" s="11"/>
    </row>
    <row r="128" ht="15" customHeight="1">
      <c r="A128" s="11"/>
      <c r="B128" s="11"/>
      <c r="C128" s="11"/>
      <c r="D128" s="11"/>
      <c r="E128" s="11"/>
      <c r="F128" s="11"/>
      <c r="G128" s="11"/>
      <c r="H128" s="11"/>
      <c r="I128" s="11"/>
      <c r="J128" s="11"/>
      <c r="K128" s="11"/>
      <c r="L128" s="11"/>
      <c r="M128" s="11"/>
      <c r="N128" s="11"/>
      <c r="O128" s="11"/>
    </row>
    <row r="129" ht="15" customHeight="1">
      <c r="A129" s="11"/>
      <c r="B129" s="11"/>
      <c r="C129" s="11"/>
      <c r="D129" s="11"/>
      <c r="E129" s="11"/>
      <c r="F129" s="11"/>
      <c r="G129" s="11"/>
      <c r="H129" s="11"/>
      <c r="I129" s="11"/>
      <c r="J129" s="11"/>
      <c r="K129" s="11"/>
      <c r="L129" s="11"/>
      <c r="M129" s="11"/>
      <c r="N129" s="11"/>
      <c r="O129" s="11"/>
    </row>
    <row r="130" ht="15" customHeight="1">
      <c r="A130" t="s" s="54">
        <v>129</v>
      </c>
      <c r="B130" s="11"/>
      <c r="C130" s="11"/>
      <c r="D130" s="11"/>
      <c r="E130" s="11"/>
      <c r="F130" s="11"/>
      <c r="G130" s="11"/>
      <c r="H130" s="11"/>
      <c r="I130" s="11"/>
      <c r="J130" s="11"/>
      <c r="K130" s="11"/>
      <c r="L130" s="11"/>
      <c r="M130" s="11"/>
      <c r="N130" s="11"/>
      <c r="O130" s="11"/>
    </row>
    <row r="131" ht="15" customHeight="1">
      <c r="A131" t="s" s="54">
        <v>130</v>
      </c>
      <c r="B131" s="11"/>
      <c r="C131" s="11"/>
      <c r="D131" s="11"/>
      <c r="E131" s="11"/>
      <c r="F131" s="11"/>
      <c r="G131" s="11"/>
      <c r="H131" s="11"/>
      <c r="I131" s="11"/>
      <c r="J131" s="11"/>
      <c r="K131" s="11"/>
      <c r="L131" s="11"/>
      <c r="M131" s="11"/>
      <c r="N131" s="11"/>
      <c r="O131" s="11"/>
    </row>
    <row r="132" ht="15" customHeight="1">
      <c r="A132" s="11"/>
      <c r="B132" s="11"/>
      <c r="C132" s="11"/>
      <c r="D132" s="11"/>
      <c r="E132" s="11"/>
      <c r="F132" s="11"/>
      <c r="G132" s="11"/>
      <c r="H132" s="11"/>
      <c r="I132" s="11"/>
      <c r="J132" s="11"/>
      <c r="K132" s="11"/>
      <c r="L132" s="11"/>
      <c r="M132" s="11"/>
      <c r="N132" s="11"/>
      <c r="O132" s="11"/>
    </row>
    <row r="133" ht="15" customHeight="1">
      <c r="A133" t="s" s="111">
        <v>131</v>
      </c>
      <c r="B133" t="s" s="111">
        <v>74</v>
      </c>
      <c r="C133" t="s" s="111">
        <v>132</v>
      </c>
      <c r="D133" s="11"/>
      <c r="E133" s="11"/>
      <c r="F133" s="11"/>
      <c r="G133" s="11"/>
      <c r="H133" s="11"/>
      <c r="I133" s="11"/>
      <c r="J133" s="11"/>
      <c r="K133" s="11"/>
      <c r="L133" s="11"/>
      <c r="M133" s="11"/>
      <c r="N133" s="11"/>
      <c r="O133" s="11"/>
    </row>
    <row r="134" ht="15" customHeight="1">
      <c r="A134" s="112">
        <v>43101</v>
      </c>
      <c r="B134" s="103">
        <v>89</v>
      </c>
      <c r="C134" s="113" cm="1">
        <f t="array" ref="C134">B134/$B$140</f>
        <v>0.183127572016461</v>
      </c>
      <c r="D134" s="11"/>
      <c r="E134" s="11"/>
      <c r="F134" s="11"/>
      <c r="G134" s="11"/>
      <c r="H134" s="11"/>
      <c r="I134" s="11"/>
      <c r="J134" s="11"/>
      <c r="K134" s="11"/>
      <c r="L134" s="11"/>
      <c r="M134" s="11"/>
      <c r="N134" s="11"/>
      <c r="O134" s="11"/>
    </row>
    <row r="135" ht="15" customHeight="1">
      <c r="A135" s="112">
        <v>43132</v>
      </c>
      <c r="B135" s="103">
        <v>107</v>
      </c>
      <c r="C135" s="113" cm="1">
        <f t="array" ref="C135">B135/$B$140</f>
        <v>0.220164609053498</v>
      </c>
      <c r="D135" s="11"/>
      <c r="E135" s="11"/>
      <c r="F135" s="11"/>
      <c r="G135" s="11"/>
      <c r="H135" s="11"/>
      <c r="I135" s="11"/>
      <c r="J135" s="11"/>
      <c r="K135" s="11"/>
      <c r="L135" s="11"/>
      <c r="M135" s="11"/>
      <c r="N135" s="11"/>
      <c r="O135" s="11"/>
    </row>
    <row r="136" ht="15" customHeight="1">
      <c r="A136" s="112">
        <v>43160</v>
      </c>
      <c r="B136" s="103">
        <v>87</v>
      </c>
      <c r="C136" s="113" cm="1">
        <f t="array" ref="C136">B136/$B$140</f>
        <v>0.179012345679012</v>
      </c>
      <c r="D136" s="11"/>
      <c r="E136" s="11"/>
      <c r="F136" s="11"/>
      <c r="G136" s="11"/>
      <c r="H136" s="11"/>
      <c r="I136" s="11"/>
      <c r="J136" s="11"/>
      <c r="K136" s="11"/>
      <c r="L136" s="11"/>
      <c r="M136" s="11"/>
      <c r="N136" s="11"/>
      <c r="O136" s="11"/>
    </row>
    <row r="137" ht="15" customHeight="1">
      <c r="A137" s="112">
        <v>43191</v>
      </c>
      <c r="B137" s="103">
        <v>93</v>
      </c>
      <c r="C137" s="113" cm="1">
        <f t="array" ref="C137">B137/$B$140</f>
        <v>0.191358024691358</v>
      </c>
      <c r="D137" s="11"/>
      <c r="E137" s="11"/>
      <c r="F137" s="11"/>
      <c r="G137" s="11"/>
      <c r="H137" s="11"/>
      <c r="I137" s="11"/>
      <c r="J137" s="11"/>
      <c r="K137" s="11"/>
      <c r="L137" s="11"/>
      <c r="M137" s="11"/>
      <c r="N137" s="11"/>
      <c r="O137" s="11"/>
    </row>
    <row r="138" ht="15" customHeight="1">
      <c r="A138" s="112">
        <v>43221</v>
      </c>
      <c r="B138" s="103">
        <v>68</v>
      </c>
      <c r="C138" s="113" cm="1">
        <f t="array" ref="C138">B138/$B$140</f>
        <v>0.139917695473251</v>
      </c>
      <c r="D138" s="11"/>
      <c r="E138" s="11"/>
      <c r="F138" s="11"/>
      <c r="G138" s="11"/>
      <c r="H138" s="11"/>
      <c r="I138" s="11"/>
      <c r="J138" s="11"/>
      <c r="K138" s="11"/>
      <c r="L138" s="11"/>
      <c r="M138" s="11"/>
      <c r="N138" s="11"/>
      <c r="O138" s="11"/>
    </row>
    <row r="139" ht="15" customHeight="1">
      <c r="A139" s="112">
        <v>43252</v>
      </c>
      <c r="B139" s="103">
        <v>42</v>
      </c>
      <c r="C139" s="113" cm="1">
        <f t="array" ref="C139">B139/$B$140</f>
        <v>0.0864197530864198</v>
      </c>
      <c r="D139" s="11"/>
      <c r="E139" s="11"/>
      <c r="F139" s="11"/>
      <c r="G139" s="11"/>
      <c r="H139" s="11"/>
      <c r="I139" s="11"/>
      <c r="J139" s="11"/>
      <c r="K139" s="11"/>
      <c r="L139" s="11"/>
      <c r="M139" s="11"/>
      <c r="N139" s="11"/>
      <c r="O139" s="11"/>
    </row>
    <row r="140" ht="15" customHeight="1">
      <c r="A140" t="s" s="114">
        <v>22</v>
      </c>
      <c r="B140" s="103" cm="1">
        <f t="array" ref="B140">SUM(B134:B139)</f>
        <v>486</v>
      </c>
      <c r="C140" s="113" cm="1">
        <f t="array" ref="C140">SUM(C134:C139)</f>
        <v>1</v>
      </c>
      <c r="D140" s="11"/>
      <c r="E140" s="11"/>
      <c r="F140" s="11"/>
      <c r="G140" s="11"/>
      <c r="H140" s="11"/>
      <c r="I140" s="11"/>
      <c r="J140" s="11"/>
      <c r="K140" s="11"/>
      <c r="L140" s="11"/>
      <c r="M140" s="11"/>
      <c r="N140" s="11"/>
      <c r="O140" s="11"/>
    </row>
    <row r="141" ht="15" customHeight="1">
      <c r="A141" s="11"/>
      <c r="B141" s="11"/>
      <c r="C141" s="11"/>
      <c r="D141" s="11"/>
      <c r="E141" s="11"/>
      <c r="F141" s="11"/>
      <c r="G141" s="11"/>
      <c r="H141" s="11"/>
      <c r="I141" s="11"/>
      <c r="J141" s="11"/>
      <c r="K141" s="11"/>
      <c r="L141" s="11"/>
      <c r="M141" s="11"/>
      <c r="N141" s="11"/>
      <c r="O141" s="11"/>
    </row>
    <row r="142" ht="15" customHeight="1">
      <c r="A142" t="s" s="111">
        <v>133</v>
      </c>
      <c r="B142" t="s" s="111">
        <v>74</v>
      </c>
      <c r="C142" t="s" s="111">
        <v>132</v>
      </c>
      <c r="D142" s="11"/>
      <c r="E142" s="11"/>
      <c r="F142" s="11"/>
      <c r="G142" s="11"/>
      <c r="H142" s="11"/>
      <c r="I142" s="11"/>
      <c r="J142" s="11"/>
      <c r="K142" s="11"/>
      <c r="L142" s="11"/>
      <c r="M142" s="11"/>
      <c r="N142" s="11"/>
      <c r="O142" s="11"/>
    </row>
    <row r="143" ht="15" customHeight="1">
      <c r="A143" t="s" s="114">
        <v>134</v>
      </c>
      <c r="B143" s="103">
        <v>179</v>
      </c>
      <c r="C143" s="113" cm="1">
        <f t="array" ref="C143">B143/B145</f>
        <v>0.368312757201646</v>
      </c>
      <c r="D143" s="11"/>
      <c r="E143" s="11"/>
      <c r="F143" s="11"/>
      <c r="G143" s="11"/>
      <c r="H143" s="11"/>
      <c r="I143" s="11"/>
      <c r="J143" s="11"/>
      <c r="K143" s="11"/>
      <c r="L143" s="11"/>
      <c r="M143" s="11"/>
      <c r="N143" s="11"/>
      <c r="O143" s="11"/>
    </row>
    <row r="144" ht="15" customHeight="1">
      <c r="A144" t="s" s="114">
        <v>135</v>
      </c>
      <c r="B144" s="103">
        <v>307</v>
      </c>
      <c r="C144" s="113" cm="1">
        <f t="array" ref="C144">B144/B145</f>
        <v>0.631687242798354</v>
      </c>
      <c r="D144" s="11"/>
      <c r="E144" s="11"/>
      <c r="F144" s="11"/>
      <c r="G144" s="11"/>
      <c r="H144" s="11"/>
      <c r="I144" s="11"/>
      <c r="J144" s="11"/>
      <c r="K144" s="11"/>
      <c r="L144" s="11"/>
      <c r="M144" s="11"/>
      <c r="N144" s="11"/>
      <c r="O144" s="11"/>
    </row>
    <row r="145" ht="15" customHeight="1">
      <c r="A145" s="11"/>
      <c r="B145" s="103" cm="1">
        <f t="array" ref="B145">B144+B143</f>
        <v>486</v>
      </c>
      <c r="C145" s="11"/>
      <c r="D145" s="11"/>
      <c r="E145" s="11"/>
      <c r="F145" s="11"/>
      <c r="G145" s="11"/>
      <c r="H145" s="11"/>
      <c r="I145" s="11"/>
      <c r="J145" s="11"/>
      <c r="K145" s="11"/>
      <c r="L145" s="11"/>
      <c r="M145" s="11"/>
      <c r="N145" s="11"/>
      <c r="O145" s="11"/>
    </row>
    <row r="146" ht="15" customHeight="1">
      <c r="A146" s="11"/>
      <c r="B146" s="11"/>
      <c r="C146" s="11"/>
      <c r="D146" s="11"/>
      <c r="E146" s="11"/>
      <c r="F146" s="11"/>
      <c r="G146" s="11"/>
      <c r="H146" s="11"/>
      <c r="I146" s="11"/>
      <c r="J146" s="11"/>
      <c r="K146" s="11"/>
      <c r="L146" s="11"/>
      <c r="M146" s="11"/>
      <c r="N146" s="11"/>
      <c r="O146" s="11"/>
    </row>
    <row r="147" ht="15" customHeight="1">
      <c r="A147" t="s" s="111">
        <v>136</v>
      </c>
      <c r="B147" t="s" s="111">
        <v>74</v>
      </c>
      <c r="C147" t="s" s="111">
        <v>132</v>
      </c>
      <c r="D147" s="11"/>
      <c r="E147" s="11"/>
      <c r="F147" s="11"/>
      <c r="G147" s="11"/>
      <c r="H147" s="11"/>
      <c r="I147" s="11"/>
      <c r="J147" s="11"/>
      <c r="K147" s="11"/>
      <c r="L147" s="11"/>
      <c r="M147" s="11"/>
      <c r="N147" s="11"/>
      <c r="O147" s="11"/>
    </row>
    <row r="148" ht="15" customHeight="1">
      <c r="A148" t="s" s="114">
        <v>137</v>
      </c>
      <c r="B148" s="103">
        <v>164</v>
      </c>
      <c r="C148" s="113" cm="1">
        <f t="array" ref="C148">B148/B150</f>
        <v>0.337448559670782</v>
      </c>
      <c r="D148" s="11"/>
      <c r="E148" s="11"/>
      <c r="F148" s="11"/>
      <c r="G148" s="11"/>
      <c r="H148" s="11"/>
      <c r="I148" s="11"/>
      <c r="J148" s="11"/>
      <c r="K148" s="11"/>
      <c r="L148" s="11"/>
      <c r="M148" s="11"/>
      <c r="N148" s="11"/>
      <c r="O148" s="11"/>
    </row>
    <row r="149" ht="15" customHeight="1">
      <c r="A149" t="s" s="114">
        <v>138</v>
      </c>
      <c r="B149" s="103">
        <v>322</v>
      </c>
      <c r="C149" s="113" cm="1">
        <f t="array" ref="C149">B149/B150</f>
        <v>0.662551440329218</v>
      </c>
      <c r="D149" s="11"/>
      <c r="E149" s="11"/>
      <c r="F149" s="11"/>
      <c r="G149" s="11"/>
      <c r="H149" s="11"/>
      <c r="I149" s="11"/>
      <c r="J149" s="11"/>
      <c r="K149" s="11"/>
      <c r="L149" s="11"/>
      <c r="M149" s="11"/>
      <c r="N149" s="11"/>
      <c r="O149" s="11"/>
    </row>
    <row r="150" ht="15" customHeight="1">
      <c r="A150" t="s" s="114">
        <v>22</v>
      </c>
      <c r="B150" s="103" cm="1">
        <f t="array" ref="B150">B149+B148</f>
        <v>486</v>
      </c>
      <c r="C150" s="11"/>
      <c r="D150" s="11"/>
      <c r="E150" s="11"/>
      <c r="F150" s="11"/>
      <c r="G150" s="11"/>
      <c r="H150" s="11"/>
      <c r="I150" s="11"/>
      <c r="J150" s="11"/>
      <c r="K150" s="11"/>
      <c r="L150" s="11"/>
      <c r="M150" s="11"/>
      <c r="N150" s="11"/>
      <c r="O150" s="11"/>
    </row>
    <row r="151" ht="15" customHeight="1">
      <c r="A151" s="11"/>
      <c r="B151" s="11"/>
      <c r="C151" s="11"/>
      <c r="D151" s="11"/>
      <c r="E151" s="11"/>
      <c r="F151" s="11"/>
      <c r="G151" s="11"/>
      <c r="H151" s="11"/>
      <c r="I151" s="11"/>
      <c r="J151" s="11"/>
      <c r="K151" s="11"/>
      <c r="L151" s="11"/>
      <c r="M151" s="11"/>
      <c r="N151" s="11"/>
      <c r="O151" s="11"/>
    </row>
    <row r="152" ht="15" customHeight="1">
      <c r="A152" t="s" s="111">
        <v>139</v>
      </c>
      <c r="B152" t="s" s="111">
        <v>74</v>
      </c>
      <c r="C152" t="s" s="111">
        <v>132</v>
      </c>
      <c r="D152" s="11"/>
      <c r="E152" s="11"/>
      <c r="F152" s="11"/>
      <c r="G152" s="11"/>
      <c r="H152" s="11"/>
      <c r="I152" s="11"/>
      <c r="J152" s="11"/>
      <c r="K152" s="11"/>
      <c r="L152" s="11"/>
      <c r="M152" s="11"/>
      <c r="N152" s="11"/>
      <c r="O152" s="11"/>
    </row>
    <row r="153" ht="15" customHeight="1">
      <c r="A153" t="s" s="114">
        <v>140</v>
      </c>
      <c r="B153" s="103">
        <v>182</v>
      </c>
      <c r="C153" s="113" cm="1">
        <f t="array" ref="C153">B153/$B$159</f>
        <v>0.374485596707819</v>
      </c>
      <c r="D153" s="11"/>
      <c r="E153" s="11"/>
      <c r="F153" s="11"/>
      <c r="G153" s="11"/>
      <c r="H153" s="11"/>
      <c r="I153" s="11"/>
      <c r="J153" s="11"/>
      <c r="K153" s="11"/>
      <c r="L153" s="11"/>
      <c r="M153" s="11"/>
      <c r="N153" s="11"/>
      <c r="O153" s="11"/>
    </row>
    <row r="154" ht="15" customHeight="1">
      <c r="A154" t="s" s="114">
        <v>141</v>
      </c>
      <c r="B154" s="103">
        <v>33</v>
      </c>
      <c r="C154" s="113" cm="1">
        <f t="array" ref="C154">B154/$B$159</f>
        <v>0.0679012345679012</v>
      </c>
      <c r="D154" s="11"/>
      <c r="E154" s="11"/>
      <c r="F154" s="11"/>
      <c r="G154" s="11"/>
      <c r="H154" s="11"/>
      <c r="I154" s="11"/>
      <c r="J154" s="11"/>
      <c r="K154" s="11"/>
      <c r="L154" s="11"/>
      <c r="M154" s="11"/>
      <c r="N154" s="11"/>
      <c r="O154" s="11"/>
    </row>
    <row r="155" ht="15" customHeight="1">
      <c r="A155" t="s" s="114">
        <v>142</v>
      </c>
      <c r="B155" s="103">
        <v>42</v>
      </c>
      <c r="C155" s="113" cm="1">
        <f t="array" ref="C155">B155/$B$159</f>
        <v>0.0864197530864198</v>
      </c>
      <c r="D155" s="11"/>
      <c r="E155" s="11"/>
      <c r="F155" s="11"/>
      <c r="G155" s="11"/>
      <c r="H155" s="11"/>
      <c r="I155" s="11"/>
      <c r="J155" s="11"/>
      <c r="K155" s="11"/>
      <c r="L155" s="11"/>
      <c r="M155" s="11"/>
      <c r="N155" s="11"/>
      <c r="O155" s="11"/>
    </row>
    <row r="156" ht="15" customHeight="1">
      <c r="A156" t="s" s="114">
        <v>143</v>
      </c>
      <c r="B156" s="103">
        <v>21</v>
      </c>
      <c r="C156" s="113" cm="1">
        <f t="array" ref="C156">B156/$B$159</f>
        <v>0.0432098765432099</v>
      </c>
      <c r="D156" s="11"/>
      <c r="E156" s="11"/>
      <c r="F156" s="11"/>
      <c r="G156" s="11"/>
      <c r="H156" s="11"/>
      <c r="I156" s="11"/>
      <c r="J156" s="11"/>
      <c r="K156" s="11"/>
      <c r="L156" s="11"/>
      <c r="M156" s="11"/>
      <c r="N156" s="11"/>
      <c r="O156" s="11"/>
    </row>
    <row r="157" ht="15" customHeight="1">
      <c r="A157" t="s" s="114">
        <v>144</v>
      </c>
      <c r="B157" s="103">
        <v>202</v>
      </c>
      <c r="C157" s="113" cm="1">
        <f t="array" ref="C157">B157/$B$159</f>
        <v>0.415637860082305</v>
      </c>
      <c r="D157" s="11"/>
      <c r="E157" s="11"/>
      <c r="F157" s="11"/>
      <c r="G157" s="11"/>
      <c r="H157" s="11"/>
      <c r="I157" s="11"/>
      <c r="J157" s="11"/>
      <c r="K157" s="11"/>
      <c r="L157" s="11"/>
      <c r="M157" s="11"/>
      <c r="N157" s="11"/>
      <c r="O157" s="11"/>
    </row>
    <row r="158" ht="15" customHeight="1">
      <c r="A158" t="s" s="114">
        <v>145</v>
      </c>
      <c r="B158" s="103">
        <v>6</v>
      </c>
      <c r="C158" s="113" cm="1">
        <f t="array" ref="C158">B158/$B$159</f>
        <v>0.0123456790123457</v>
      </c>
      <c r="D158" s="11"/>
      <c r="E158" s="11"/>
      <c r="F158" s="11"/>
      <c r="G158" s="11"/>
      <c r="H158" s="11"/>
      <c r="I158" s="11"/>
      <c r="J158" s="11"/>
      <c r="K158" s="11"/>
      <c r="L158" s="11"/>
      <c r="M158" s="11"/>
      <c r="N158" s="11"/>
      <c r="O158" s="11"/>
    </row>
    <row r="159" ht="15" customHeight="1">
      <c r="A159" t="s" s="114">
        <v>22</v>
      </c>
      <c r="B159" s="103" cm="1">
        <f t="array" ref="B159">SUM(B153:B158)</f>
        <v>486</v>
      </c>
      <c r="C159" s="12"/>
      <c r="D159" s="11"/>
      <c r="E159" s="11"/>
      <c r="F159" s="11"/>
      <c r="G159" s="11"/>
      <c r="H159" s="11"/>
      <c r="I159" s="11"/>
      <c r="J159" s="11"/>
      <c r="K159" s="11"/>
      <c r="L159" s="11"/>
      <c r="M159" s="11"/>
      <c r="N159" s="11"/>
      <c r="O159" s="11"/>
    </row>
    <row r="160" ht="15" customHeight="1">
      <c r="A160" s="12"/>
      <c r="B160" s="11"/>
      <c r="C160" s="11"/>
      <c r="D160" s="11"/>
      <c r="E160" s="11"/>
      <c r="F160" s="11"/>
      <c r="G160" s="11"/>
      <c r="H160" s="11"/>
      <c r="I160" s="11"/>
      <c r="J160" s="11"/>
      <c r="K160" s="11"/>
      <c r="L160" s="11"/>
      <c r="M160" s="11"/>
      <c r="N160" s="11"/>
      <c r="O160" s="11"/>
    </row>
    <row r="161" ht="15" customHeight="1">
      <c r="A161" s="11"/>
      <c r="B161" s="11"/>
      <c r="C161" s="11"/>
      <c r="D161" s="11"/>
      <c r="E161" s="11"/>
      <c r="F161" s="11"/>
      <c r="G161" s="11"/>
      <c r="H161" s="11"/>
      <c r="I161" s="11"/>
      <c r="J161" s="11"/>
      <c r="K161" s="11"/>
      <c r="L161" s="11"/>
      <c r="M161" s="11"/>
      <c r="N161" s="11"/>
      <c r="O161" s="11"/>
    </row>
    <row r="162" ht="15" customHeight="1">
      <c r="A162" t="s" s="111">
        <v>146</v>
      </c>
      <c r="B162" t="s" s="111">
        <v>74</v>
      </c>
      <c r="C162" t="s" s="111">
        <v>132</v>
      </c>
      <c r="D162" s="11"/>
      <c r="E162" s="11"/>
      <c r="F162" s="11"/>
      <c r="G162" s="11"/>
      <c r="H162" s="11"/>
      <c r="I162" s="11"/>
      <c r="J162" s="11"/>
      <c r="K162" s="11"/>
      <c r="L162" s="11"/>
      <c r="M162" s="11"/>
      <c r="N162" s="11"/>
      <c r="O162" s="11"/>
    </row>
    <row r="163" ht="15" customHeight="1">
      <c r="A163" t="s" s="114">
        <v>147</v>
      </c>
      <c r="B163" s="103">
        <v>19</v>
      </c>
      <c r="C163" s="113" cm="1">
        <f t="array" ref="C163">B163/$B$171</f>
        <v>0.104395604395604</v>
      </c>
      <c r="D163" s="11"/>
      <c r="E163" s="11"/>
      <c r="F163" s="11"/>
      <c r="G163" s="11"/>
      <c r="H163" s="11"/>
      <c r="I163" s="11"/>
      <c r="J163" s="11"/>
      <c r="K163" s="11"/>
      <c r="L163" s="11"/>
      <c r="M163" s="11"/>
      <c r="N163" s="11"/>
      <c r="O163" s="11"/>
    </row>
    <row r="164" ht="15" customHeight="1">
      <c r="A164" t="s" s="114">
        <v>148</v>
      </c>
      <c r="B164" s="103">
        <v>1</v>
      </c>
      <c r="C164" s="113" cm="1">
        <f t="array" ref="C164">B164/$B$171</f>
        <v>0.00549450549450549</v>
      </c>
      <c r="D164" s="11"/>
      <c r="E164" s="11"/>
      <c r="F164" s="11"/>
      <c r="G164" s="11"/>
      <c r="H164" s="11"/>
      <c r="I164" s="11"/>
      <c r="J164" s="11"/>
      <c r="K164" s="11"/>
      <c r="L164" s="11"/>
      <c r="M164" s="11"/>
      <c r="N164" s="11"/>
      <c r="O164" s="11"/>
    </row>
    <row r="165" ht="15" customHeight="1">
      <c r="A165" t="s" s="114">
        <v>53</v>
      </c>
      <c r="B165" s="103">
        <v>14</v>
      </c>
      <c r="C165" s="113" cm="1">
        <f t="array" ref="C165">B165/$B$171</f>
        <v>0.0769230769230769</v>
      </c>
      <c r="D165" s="11"/>
      <c r="E165" s="11"/>
      <c r="F165" s="11"/>
      <c r="G165" s="11"/>
      <c r="H165" s="11"/>
      <c r="I165" s="11"/>
      <c r="J165" s="11"/>
      <c r="K165" s="11"/>
      <c r="L165" s="11"/>
      <c r="M165" s="11"/>
      <c r="N165" s="11"/>
      <c r="O165" s="11"/>
    </row>
    <row r="166" ht="15" customHeight="1">
      <c r="A166" t="s" s="114">
        <v>149</v>
      </c>
      <c r="B166" s="103">
        <v>36</v>
      </c>
      <c r="C166" s="113" cm="1">
        <f t="array" ref="C166">B166/$B$171</f>
        <v>0.197802197802198</v>
      </c>
      <c r="D166" s="11"/>
      <c r="E166" s="11"/>
      <c r="F166" s="11"/>
      <c r="G166" s="11"/>
      <c r="H166" s="11"/>
      <c r="I166" s="11"/>
      <c r="J166" s="11"/>
      <c r="K166" s="11"/>
      <c r="L166" s="11"/>
      <c r="M166" s="11"/>
      <c r="N166" s="11"/>
      <c r="O166" s="11"/>
    </row>
    <row r="167" ht="15" customHeight="1">
      <c r="A167" t="s" s="114">
        <v>150</v>
      </c>
      <c r="B167" s="103">
        <v>36</v>
      </c>
      <c r="C167" s="113" cm="1">
        <f t="array" ref="C167">B167/$B$171</f>
        <v>0.197802197802198</v>
      </c>
      <c r="D167" s="11"/>
      <c r="E167" s="11"/>
      <c r="F167" s="11"/>
      <c r="G167" s="11"/>
      <c r="H167" s="11"/>
      <c r="I167" s="11"/>
      <c r="J167" s="11"/>
      <c r="K167" s="11"/>
      <c r="L167" s="11"/>
      <c r="M167" s="11"/>
      <c r="N167" s="11"/>
      <c r="O167" s="11"/>
    </row>
    <row r="168" ht="15" customHeight="1">
      <c r="A168" t="s" s="114">
        <v>134</v>
      </c>
      <c r="B168" s="103">
        <v>13</v>
      </c>
      <c r="C168" s="113" cm="1">
        <f t="array" ref="C168">B168/$B$171</f>
        <v>0.0714285714285714</v>
      </c>
      <c r="D168" s="11"/>
      <c r="E168" s="11"/>
      <c r="F168" s="11"/>
      <c r="G168" s="11"/>
      <c r="H168" s="11"/>
      <c r="I168" s="11"/>
      <c r="J168" s="11"/>
      <c r="K168" s="11"/>
      <c r="L168" s="11"/>
      <c r="M168" s="11"/>
      <c r="N168" s="11"/>
      <c r="O168" s="11"/>
    </row>
    <row r="169" ht="15" customHeight="1">
      <c r="A169" t="s" s="114">
        <v>151</v>
      </c>
      <c r="B169" s="103">
        <v>62</v>
      </c>
      <c r="C169" s="113" cm="1">
        <f t="array" ref="C169">B169/$B$171</f>
        <v>0.340659340659341</v>
      </c>
      <c r="D169" s="11"/>
      <c r="E169" s="11"/>
      <c r="F169" s="11"/>
      <c r="G169" s="11"/>
      <c r="H169" s="11"/>
      <c r="I169" s="11"/>
      <c r="J169" s="11"/>
      <c r="K169" s="11"/>
      <c r="L169" s="11"/>
      <c r="M169" s="11"/>
      <c r="N169" s="11"/>
      <c r="O169" s="11"/>
    </row>
    <row r="170" ht="15" customHeight="1">
      <c r="A170" t="s" s="114">
        <v>87</v>
      </c>
      <c r="B170" s="103">
        <v>1</v>
      </c>
      <c r="C170" s="113" cm="1">
        <f t="array" ref="C170">B170/$B$171</f>
        <v>0.00549450549450549</v>
      </c>
      <c r="D170" s="11"/>
      <c r="E170" s="11"/>
      <c r="F170" s="11"/>
      <c r="G170" s="11"/>
      <c r="H170" s="11"/>
      <c r="I170" s="11"/>
      <c r="J170" s="11"/>
      <c r="K170" s="11"/>
      <c r="L170" s="11"/>
      <c r="M170" s="11"/>
      <c r="N170" s="11"/>
      <c r="O170" s="11"/>
    </row>
    <row r="171" ht="15" customHeight="1">
      <c r="A171" t="s" s="114">
        <v>22</v>
      </c>
      <c r="B171" s="103" cm="1">
        <f t="array" ref="B171">SUM(B163:B170)</f>
        <v>182</v>
      </c>
      <c r="C171" s="12"/>
      <c r="D171" s="11"/>
      <c r="E171" s="11"/>
      <c r="F171" s="11"/>
      <c r="G171" s="11"/>
      <c r="H171" s="11"/>
      <c r="I171" s="11"/>
      <c r="J171" s="11"/>
      <c r="K171" s="11"/>
      <c r="L171" s="11"/>
      <c r="M171" s="11"/>
      <c r="N171" s="11"/>
      <c r="O171" s="11"/>
    </row>
    <row r="172" ht="15" customHeight="1">
      <c r="A172" s="11"/>
      <c r="B172" s="11"/>
      <c r="C172" s="11"/>
      <c r="D172" s="11"/>
      <c r="E172" s="11"/>
      <c r="F172" s="11"/>
      <c r="G172" s="11"/>
      <c r="H172" s="11"/>
      <c r="I172" s="11"/>
      <c r="J172" s="11"/>
      <c r="K172" s="11"/>
      <c r="L172" s="11"/>
      <c r="M172" s="11"/>
      <c r="N172" s="11"/>
      <c r="O172" s="11"/>
    </row>
    <row r="173" ht="15" customHeight="1">
      <c r="A173" s="11"/>
      <c r="B173" s="11"/>
      <c r="C173" s="11"/>
      <c r="D173" s="11"/>
      <c r="E173" s="11"/>
      <c r="F173" s="11"/>
      <c r="G173" s="11"/>
      <c r="H173" s="11"/>
      <c r="I173" s="11"/>
      <c r="J173" s="11"/>
      <c r="K173" s="11"/>
      <c r="L173" s="11"/>
      <c r="M173" s="11"/>
      <c r="N173" s="11"/>
      <c r="O173" s="11"/>
    </row>
    <row r="174" ht="15" customHeight="1">
      <c r="A174" s="11"/>
      <c r="B174" s="11"/>
      <c r="C174" s="11"/>
      <c r="D174" s="11"/>
      <c r="E174" s="11"/>
      <c r="F174" s="11"/>
      <c r="G174" s="11"/>
      <c r="H174" s="11"/>
      <c r="I174" s="11"/>
      <c r="J174" s="11"/>
      <c r="K174" s="11"/>
      <c r="L174" s="11"/>
      <c r="M174" s="11"/>
      <c r="N174" s="11"/>
      <c r="O174" s="11"/>
    </row>
    <row r="175" ht="15" customHeight="1">
      <c r="A175" s="11"/>
      <c r="B175" s="11"/>
      <c r="C175" s="11"/>
      <c r="D175" s="11"/>
      <c r="E175" s="11"/>
      <c r="F175" s="11"/>
      <c r="G175" s="11"/>
      <c r="H175" s="11"/>
      <c r="I175" s="11"/>
      <c r="J175" s="11"/>
      <c r="K175" s="11"/>
      <c r="L175" s="11"/>
      <c r="M175" s="11"/>
      <c r="N175" s="11"/>
      <c r="O175" s="11"/>
    </row>
    <row r="176" ht="15" customHeight="1">
      <c r="A176" s="11"/>
      <c r="B176" s="11"/>
      <c r="C176" s="11"/>
      <c r="D176" s="11"/>
      <c r="E176" s="11"/>
      <c r="F176" s="11"/>
      <c r="G176" s="11"/>
      <c r="H176" s="11"/>
      <c r="I176" s="11"/>
      <c r="J176" s="11"/>
      <c r="K176" s="11"/>
      <c r="L176" s="11"/>
      <c r="M176" s="11"/>
      <c r="N176" s="11"/>
      <c r="O176" s="11"/>
    </row>
    <row r="177" ht="15" customHeight="1">
      <c r="A177" s="11"/>
      <c r="B177" s="11"/>
      <c r="C177" s="11"/>
      <c r="D177" s="11"/>
      <c r="E177" s="11"/>
      <c r="F177" s="11"/>
      <c r="G177" s="11"/>
      <c r="H177" s="11"/>
      <c r="I177" s="11"/>
      <c r="J177" s="11"/>
      <c r="K177" s="11"/>
      <c r="L177" s="11"/>
      <c r="M177" s="11"/>
      <c r="N177" s="11"/>
      <c r="O177" s="11"/>
    </row>
    <row r="178" ht="15" customHeight="1">
      <c r="A178" s="11"/>
      <c r="B178" s="11"/>
      <c r="C178" s="11"/>
      <c r="D178" s="11"/>
      <c r="E178" s="11"/>
      <c r="F178" s="11"/>
      <c r="G178" s="11"/>
      <c r="H178" s="11"/>
      <c r="I178" s="11"/>
      <c r="J178" s="11"/>
      <c r="K178" s="11"/>
      <c r="L178" s="11"/>
      <c r="M178" s="11"/>
      <c r="N178" s="11"/>
      <c r="O178" s="11"/>
    </row>
    <row r="179" ht="15" customHeight="1">
      <c r="A179" s="11"/>
      <c r="B179" s="11"/>
      <c r="C179" s="11"/>
      <c r="D179" s="11"/>
      <c r="E179" s="11"/>
      <c r="F179" s="11"/>
      <c r="G179" s="11"/>
      <c r="H179" s="11"/>
      <c r="I179" s="11"/>
      <c r="J179" s="11"/>
      <c r="K179" s="11"/>
      <c r="L179" s="11"/>
      <c r="M179" s="11"/>
      <c r="N179" s="11"/>
      <c r="O179" s="11"/>
    </row>
    <row r="180" ht="15" customHeight="1">
      <c r="A180" s="11"/>
      <c r="B180" s="11"/>
      <c r="C180" s="11"/>
      <c r="D180" s="11"/>
      <c r="E180" s="11"/>
      <c r="F180" s="11"/>
      <c r="G180" s="11"/>
      <c r="H180" s="11"/>
      <c r="I180" s="11"/>
      <c r="J180" s="11"/>
      <c r="K180" s="11"/>
      <c r="L180" s="11"/>
      <c r="M180" s="11"/>
      <c r="N180" s="11"/>
      <c r="O180" s="11"/>
    </row>
  </sheetData>
  <mergeCells count="4">
    <mergeCell ref="A1:M1"/>
    <mergeCell ref="A2:M2"/>
    <mergeCell ref="A26:M26"/>
    <mergeCell ref="A27:M27"/>
  </mergeCells>
  <pageMargins left="0.75" right="0.75" top="1" bottom="1" header="0.5" footer="0.5"/>
  <pageSetup firstPageNumber="1" fitToHeight="1" fitToWidth="1" scale="100" useFirstPageNumber="0" orientation="portrait" pageOrder="downThenOver"/>
  <headerFooter>
    <oddFooter>&amp;C&amp;"Helvetica,Regular"&amp;12&amp;K000000&amp;P</oddFooter>
  </headerFooter>
</worksheet>
</file>

<file path=xl/worksheets/sheet6.xml><?xml version="1.0" encoding="utf-8"?>
<worksheet xmlns:r="http://schemas.openxmlformats.org/officeDocument/2006/relationships" xmlns="http://schemas.openxmlformats.org/spreadsheetml/2006/main">
  <dimension ref="A1:N156"/>
  <sheetViews>
    <sheetView workbookViewId="0" showGridLines="0" defaultGridColor="1"/>
  </sheetViews>
  <sheetFormatPr defaultColWidth="12.5" defaultRowHeight="15" customHeight="1" outlineLevelRow="0" outlineLevelCol="0"/>
  <cols>
    <col min="1" max="1" width="27.1719" style="115" customWidth="1"/>
    <col min="2" max="2" width="15.1719" style="115" customWidth="1"/>
    <col min="3" max="3" width="14.6719" style="115" customWidth="1"/>
    <col min="4" max="4" width="17.3516" style="115" customWidth="1"/>
    <col min="5" max="5" width="15" style="115" customWidth="1"/>
    <col min="6" max="7" width="14.6719" style="115" customWidth="1"/>
    <col min="8" max="12" width="16.5" style="115" customWidth="1"/>
    <col min="13" max="13" width="19" style="115" customWidth="1"/>
    <col min="14" max="14" width="15.9375" style="115" customWidth="1"/>
    <col min="15" max="16384" width="12.5" style="115" customWidth="1"/>
  </cols>
  <sheetData>
    <row r="1" ht="23" customHeight="1">
      <c r="A1" t="s" s="7">
        <v>6</v>
      </c>
      <c r="B1" s="8"/>
      <c r="C1" s="8"/>
      <c r="D1" s="9"/>
      <c r="E1" s="9"/>
      <c r="F1" s="9"/>
      <c r="G1" s="9"/>
      <c r="H1" s="9"/>
      <c r="I1" s="9"/>
      <c r="J1" s="9"/>
      <c r="K1" s="9"/>
      <c r="L1" s="9"/>
      <c r="M1" s="9"/>
      <c r="N1" s="10"/>
    </row>
    <row r="2" ht="23" customHeight="1">
      <c r="A2" t="s" s="7">
        <v>153</v>
      </c>
      <c r="B2" s="8"/>
      <c r="C2" s="8"/>
      <c r="D2" s="12"/>
      <c r="E2" s="12"/>
      <c r="F2" s="12"/>
      <c r="G2" s="12"/>
      <c r="H2" s="12"/>
      <c r="I2" s="12"/>
      <c r="J2" s="12"/>
      <c r="K2" s="12"/>
      <c r="L2" s="12"/>
      <c r="M2" s="12"/>
      <c r="N2" s="10"/>
    </row>
    <row r="3" ht="15" customHeight="1">
      <c r="A3" s="13"/>
      <c r="B3" s="13"/>
      <c r="C3" s="13"/>
      <c r="D3" s="13"/>
      <c r="E3" s="13"/>
      <c r="F3" s="13"/>
      <c r="G3" s="13"/>
      <c r="H3" s="13"/>
      <c r="I3" s="13"/>
      <c r="J3" s="13"/>
      <c r="K3" s="13"/>
      <c r="L3" s="13"/>
      <c r="M3" s="13"/>
      <c r="N3" s="72"/>
    </row>
    <row r="4" ht="15" customHeight="1">
      <c r="A4" t="s" s="14">
        <v>8</v>
      </c>
      <c r="B4" t="s" s="14">
        <v>9</v>
      </c>
      <c r="C4" t="s" s="14">
        <v>10</v>
      </c>
      <c r="D4" t="s" s="14">
        <v>11</v>
      </c>
      <c r="E4" t="s" s="14">
        <v>12</v>
      </c>
      <c r="F4" t="s" s="14">
        <v>13</v>
      </c>
      <c r="G4" t="s" s="14">
        <v>14</v>
      </c>
      <c r="H4" t="s" s="14">
        <v>15</v>
      </c>
      <c r="I4" t="s" s="14">
        <v>16</v>
      </c>
      <c r="J4" t="s" s="14">
        <v>17</v>
      </c>
      <c r="K4" t="s" s="14">
        <v>18</v>
      </c>
      <c r="L4" t="s" s="14">
        <v>19</v>
      </c>
      <c r="M4" t="s" s="14">
        <v>20</v>
      </c>
      <c r="N4" t="s" s="73">
        <v>154</v>
      </c>
    </row>
    <row r="5" ht="15" customHeight="1">
      <c r="A5" s="17">
        <v>1</v>
      </c>
      <c r="B5" s="18">
        <v>32227933</v>
      </c>
      <c r="C5" s="18">
        <v>57839808</v>
      </c>
      <c r="D5" s="92">
        <v>79284345</v>
      </c>
      <c r="E5" s="18">
        <v>66885541</v>
      </c>
      <c r="F5" s="18">
        <v>64318503</v>
      </c>
      <c r="G5" s="18">
        <v>56550177</v>
      </c>
      <c r="H5" s="74">
        <v>52900741</v>
      </c>
      <c r="I5" s="18">
        <v>69820208</v>
      </c>
      <c r="J5" s="18">
        <v>45736541</v>
      </c>
      <c r="K5" s="18">
        <v>33842800</v>
      </c>
      <c r="L5" s="18">
        <v>55406510</v>
      </c>
      <c r="M5" s="18">
        <v>49117934</v>
      </c>
      <c r="N5" s="75"/>
    </row>
    <row r="6" ht="15" customHeight="1">
      <c r="A6" s="17">
        <v>2</v>
      </c>
      <c r="B6" s="18">
        <v>41826550</v>
      </c>
      <c r="C6" s="18">
        <v>55831621</v>
      </c>
      <c r="D6" s="92">
        <v>46254774</v>
      </c>
      <c r="E6" s="18">
        <v>46065000</v>
      </c>
      <c r="F6" s="18">
        <v>41946149</v>
      </c>
      <c r="G6" s="18">
        <v>60738150</v>
      </c>
      <c r="H6" s="74">
        <v>54479000</v>
      </c>
      <c r="I6" s="18">
        <v>54541230</v>
      </c>
      <c r="J6" s="18">
        <v>51075000</v>
      </c>
      <c r="K6" s="18">
        <v>54638067</v>
      </c>
      <c r="L6" s="18">
        <v>57455216</v>
      </c>
      <c r="M6" s="18">
        <v>68530850</v>
      </c>
      <c r="N6" s="19"/>
    </row>
    <row r="7" ht="15" customHeight="1">
      <c r="A7" s="17">
        <v>3</v>
      </c>
      <c r="B7" s="18">
        <v>71058757</v>
      </c>
      <c r="C7" s="18">
        <v>53423283</v>
      </c>
      <c r="D7" s="18">
        <v>154745780</v>
      </c>
      <c r="E7" s="18">
        <v>29716283</v>
      </c>
      <c r="F7" s="18">
        <v>44165813</v>
      </c>
      <c r="G7" s="18">
        <v>48654722</v>
      </c>
      <c r="H7" s="74">
        <v>39824144</v>
      </c>
      <c r="I7" s="18">
        <v>42097383</v>
      </c>
      <c r="J7" s="18">
        <v>38650733</v>
      </c>
      <c r="K7" s="18">
        <v>55005766</v>
      </c>
      <c r="L7" s="18">
        <v>33386183</v>
      </c>
      <c r="M7" s="18">
        <v>50435300</v>
      </c>
      <c r="N7" s="19"/>
    </row>
    <row r="8" ht="15" customHeight="1">
      <c r="A8" s="17">
        <v>4</v>
      </c>
      <c r="B8" s="18">
        <v>47512350</v>
      </c>
      <c r="C8" s="18">
        <v>25426550</v>
      </c>
      <c r="D8" s="18">
        <v>44925002</v>
      </c>
      <c r="E8" s="18">
        <v>43862638</v>
      </c>
      <c r="F8" s="18">
        <v>32053800</v>
      </c>
      <c r="G8" s="18">
        <v>44417150</v>
      </c>
      <c r="H8" s="74">
        <v>34856783</v>
      </c>
      <c r="I8" s="18">
        <v>38114071</v>
      </c>
      <c r="J8" s="18">
        <v>36796228</v>
      </c>
      <c r="K8" s="18">
        <v>41109183</v>
      </c>
      <c r="L8" s="18">
        <v>37567650</v>
      </c>
      <c r="M8" s="18">
        <v>71595283</v>
      </c>
      <c r="N8" s="19"/>
    </row>
    <row r="9" ht="15" customHeight="1">
      <c r="A9" s="17">
        <v>5</v>
      </c>
      <c r="B9" s="18"/>
      <c r="C9" s="18"/>
      <c r="D9" s="18">
        <v>55568300</v>
      </c>
      <c r="E9" s="18"/>
      <c r="F9" s="18"/>
      <c r="G9" s="18">
        <v>48804950</v>
      </c>
      <c r="H9" s="74"/>
      <c r="I9" s="18"/>
      <c r="J9" s="18"/>
      <c r="K9" s="18">
        <v>47376370</v>
      </c>
      <c r="L9" s="18"/>
      <c r="M9" s="18">
        <v>60868500</v>
      </c>
      <c r="N9" s="19"/>
    </row>
    <row r="10" ht="15" customHeight="1">
      <c r="A10" t="s" s="20">
        <v>22</v>
      </c>
      <c r="B10" s="18" cm="1">
        <f t="array" ref="B10">SUM(B5:B9)</f>
        <v>192625590</v>
      </c>
      <c r="C10" s="18" cm="1">
        <f t="array" ref="C10">SUM(C5:C9)</f>
        <v>192521262</v>
      </c>
      <c r="D10" s="18" cm="1">
        <f t="array" ref="D10">SUM(D5:D9)</f>
        <v>380778201</v>
      </c>
      <c r="E10" s="18" cm="1">
        <f t="array" ref="E10">SUM(E5:E9)</f>
        <v>186529462</v>
      </c>
      <c r="F10" s="18" cm="1">
        <f t="array" ref="F10">SUM(F5:F9)</f>
        <v>182484265</v>
      </c>
      <c r="G10" s="18" cm="1">
        <f t="array" ref="G10">SUM(G5:G9)</f>
        <v>259165149</v>
      </c>
      <c r="H10" s="74" cm="1">
        <f t="array" ref="H10">SUM(H5:H9)</f>
        <v>182060668</v>
      </c>
      <c r="I10" s="18" cm="1">
        <f t="array" ref="I10">SUM(I5:I9)</f>
        <v>204572892</v>
      </c>
      <c r="J10" s="18" cm="1">
        <f t="array" ref="J10">SUM(J5:J9)</f>
        <v>172258502</v>
      </c>
      <c r="K10" s="18" cm="1">
        <f t="array" ref="K10">SUM(K5:K9)</f>
        <v>231972186</v>
      </c>
      <c r="L10" s="18" cm="1">
        <f t="array" ref="L10">SUM(L5:L9)</f>
        <v>183815559</v>
      </c>
      <c r="M10" s="18" cm="1">
        <f t="array" ref="M10">SUM(M5:M9)</f>
        <v>300547867</v>
      </c>
      <c r="N10" s="61"/>
    </row>
    <row r="11" ht="15" customHeight="1">
      <c r="A11" t="s" s="20">
        <v>23</v>
      </c>
      <c r="B11" s="18" cm="1">
        <f t="array" ref="B11">AVERAGE(B5:B9)</f>
        <v>48156397.5</v>
      </c>
      <c r="C11" s="18" cm="1">
        <f t="array" ref="C11">AVERAGE(C5:C9)</f>
        <v>48130315.5</v>
      </c>
      <c r="D11" s="18" cm="1">
        <f t="array" ref="D11">AVERAGE(D5:D9)</f>
        <v>76155640.2</v>
      </c>
      <c r="E11" s="18" cm="1">
        <f t="array" ref="E11">AVERAGE(E5:E9)</f>
        <v>46632365.5</v>
      </c>
      <c r="F11" s="18" cm="1">
        <f t="array" ref="F11">AVERAGE(F5:F9)</f>
        <v>45621066.25</v>
      </c>
      <c r="G11" s="18" cm="1">
        <f t="array" ref="G11">AVERAGE(G5:G9)</f>
        <v>51833029.8</v>
      </c>
      <c r="H11" s="74" cm="1">
        <f t="array" ref="H11">AVERAGE(H5:H9)</f>
        <v>45515167</v>
      </c>
      <c r="I11" s="18" cm="1">
        <f t="array" ref="I11">AVERAGE(I5:I9)</f>
        <v>51143223</v>
      </c>
      <c r="J11" s="18" cm="1">
        <f t="array" ref="J11">AVERAGE(J5:J9)</f>
        <v>43064625.5</v>
      </c>
      <c r="K11" s="18" cm="1">
        <f t="array" ref="K11">AVERAGE(K5:K9)</f>
        <v>46394437.2</v>
      </c>
      <c r="L11" s="18" cm="1">
        <f t="array" ref="L11">AVERAGE(L5:L9)</f>
        <v>45953889.75</v>
      </c>
      <c r="M11" s="18" cm="1">
        <f t="array" ref="M11">AVERAGE(M5:M9)</f>
        <v>60109573.4</v>
      </c>
      <c r="N11" s="21"/>
    </row>
    <row r="12" ht="15" customHeight="1">
      <c r="A12" t="s" s="22">
        <v>24</v>
      </c>
      <c r="B12" s="23"/>
      <c r="C12" s="24" cm="1">
        <f t="array" ref="C12">C10/B10-1</f>
        <v>-0.000541610281375387</v>
      </c>
      <c r="D12" s="24" cm="1">
        <f t="array" ref="D12">D10/C10-1</f>
        <v>0.977850119224753</v>
      </c>
      <c r="E12" s="24" cm="1">
        <f t="array" ref="E12">E10/D10-1</f>
        <v>-0.510136185553332</v>
      </c>
      <c r="F12" s="24" cm="1">
        <f t="array" ref="F12">F10/E10-1</f>
        <v>-0.0216866384357019</v>
      </c>
      <c r="G12" s="24" cm="1">
        <f t="array" ref="G12">G10/F10-1</f>
        <v>0.420205457166403</v>
      </c>
      <c r="H12" s="24" cm="1">
        <f t="array" ref="H12">H10/G10-1</f>
        <v>-0.297510993656018</v>
      </c>
      <c r="I12" s="24" cm="1">
        <f t="array" ref="I12">I10/H10-1</f>
        <v>0.123652320115622</v>
      </c>
      <c r="J12" s="24" cm="1">
        <f t="array" ref="J12">J10/I10-1</f>
        <v>-0.15796027364173</v>
      </c>
      <c r="K12" s="24" cm="1">
        <f t="array" ref="K12">K10/J10-1</f>
        <v>0.346651592267997</v>
      </c>
      <c r="L12" s="24" cm="1">
        <f t="array" ref="L12">L10/K10-1</f>
        <v>-0.207596556425088</v>
      </c>
      <c r="M12" s="24" cm="1">
        <f t="array" ref="M12">M10/L10-1</f>
        <v>0.635051290734317</v>
      </c>
      <c r="N12" s="10"/>
    </row>
    <row r="13" ht="15" customHeight="1">
      <c r="A13" t="s" s="25">
        <v>155</v>
      </c>
      <c r="B13" s="26" cm="1">
        <f t="array" ref="B13">B10</f>
        <v>192625590</v>
      </c>
      <c r="C13" s="26" cm="1">
        <f t="array" ref="C13">C10+B13</f>
        <v>385146852</v>
      </c>
      <c r="D13" s="26" cm="1">
        <f t="array" ref="D13">D10+C13</f>
        <v>765925053</v>
      </c>
      <c r="E13" s="26" cm="1">
        <f t="array" ref="E13">E10+D13</f>
        <v>952454515</v>
      </c>
      <c r="F13" s="26" cm="1">
        <f t="array" ref="F13">F10+E13</f>
        <v>1134938780</v>
      </c>
      <c r="G13" s="26" cm="1">
        <f t="array" ref="G13">G10+F13</f>
        <v>1394103929</v>
      </c>
      <c r="H13" s="26" cm="1">
        <f t="array" ref="H13">H10+G13</f>
        <v>1576164597</v>
      </c>
      <c r="I13" s="26" cm="1">
        <f t="array" ref="I13">I10+H13</f>
        <v>1780737489</v>
      </c>
      <c r="J13" s="26" cm="1">
        <f t="array" ref="J13">J10+I13</f>
        <v>1952995991</v>
      </c>
      <c r="K13" s="26" cm="1">
        <f t="array" ref="K13">K10+J13</f>
        <v>2184968177</v>
      </c>
      <c r="L13" s="26" cm="1">
        <f t="array" ref="L13">L10+K13</f>
        <v>2368783736</v>
      </c>
      <c r="M13" s="26" cm="1">
        <f t="array" ref="M13">M10+L13</f>
        <v>2669331603</v>
      </c>
      <c r="N13" s="76"/>
    </row>
    <row r="14" ht="15" customHeight="1">
      <c r="A14" t="s" s="25">
        <v>117</v>
      </c>
      <c r="B14" s="26">
        <v>174145693</v>
      </c>
      <c r="C14" s="26">
        <v>343151622</v>
      </c>
      <c r="D14" s="26">
        <v>518610566</v>
      </c>
      <c r="E14" s="26">
        <v>764924783</v>
      </c>
      <c r="F14" s="26">
        <v>927616261</v>
      </c>
      <c r="G14" s="26">
        <v>1125547842</v>
      </c>
      <c r="H14" s="26">
        <v>1330162554</v>
      </c>
      <c r="I14" s="26">
        <v>1508874208</v>
      </c>
      <c r="J14" s="26">
        <v>1807237018</v>
      </c>
      <c r="K14" s="26">
        <v>1981445632</v>
      </c>
      <c r="L14" s="26">
        <v>2147864154</v>
      </c>
      <c r="M14" s="26">
        <v>2416137646</v>
      </c>
      <c r="N14" s="57"/>
    </row>
    <row r="15" ht="15" customHeight="1">
      <c r="A15" t="s" s="25">
        <v>119</v>
      </c>
      <c r="B15" s="28" cm="1">
        <f t="array" ref="B15">B13/B14-1</f>
        <v>0.106117450748552</v>
      </c>
      <c r="C15" s="28" cm="1">
        <f t="array" ref="C15">C13/C14-1</f>
        <v>0.122380974786708</v>
      </c>
      <c r="D15" s="28" cm="1">
        <f t="array" ref="D15">D13/D14-1</f>
        <v>0.476878997872172</v>
      </c>
      <c r="E15" s="28" cm="1">
        <f t="array" ref="E15">E13/E14-1</f>
        <v>0.245161009510657</v>
      </c>
      <c r="F15" s="28" cm="1">
        <f t="array" ref="F15">F13/F14-1</f>
        <v>0.223500306879592</v>
      </c>
      <c r="G15" s="28" cm="1">
        <f t="array" ref="G15">G13/G14-1</f>
        <v>0.238600330415808</v>
      </c>
      <c r="H15" s="28" cm="1">
        <f t="array" ref="H15">H13/H14-1</f>
        <v>0.184941338380211</v>
      </c>
      <c r="I15" s="28" cm="1">
        <f t="array" ref="I15">I13/I14-1</f>
        <v>0.180176239714742</v>
      </c>
      <c r="J15" s="28" cm="1">
        <f t="array" ref="J15">J13/J14-1</f>
        <v>0.0806529368025595</v>
      </c>
      <c r="K15" s="28" cm="1">
        <f t="array" ref="K15">K13/K14-1</f>
        <v>0.102714170761562</v>
      </c>
      <c r="L15" s="28" cm="1">
        <f t="array" ref="L15">L13/L14-1</f>
        <v>0.102855472301904</v>
      </c>
      <c r="M15" s="28" cm="1">
        <f t="array" ref="M15">M13/M14-1</f>
        <v>0.104792852931691</v>
      </c>
      <c r="N15" s="77"/>
    </row>
    <row r="16" ht="15" customHeight="1">
      <c r="A16" s="11"/>
      <c r="B16" s="28"/>
      <c r="C16" s="28"/>
      <c r="D16" s="28"/>
      <c r="E16" s="28"/>
      <c r="F16" s="28"/>
      <c r="G16" s="28"/>
      <c r="H16" s="28"/>
      <c r="I16" s="28"/>
      <c r="J16" s="28"/>
      <c r="K16" s="116"/>
      <c r="L16" s="28"/>
      <c r="M16" s="28"/>
      <c r="N16" s="10"/>
    </row>
    <row r="17" ht="15" customHeight="1">
      <c r="A17" s="64"/>
      <c r="B17" s="28"/>
      <c r="C17" s="28"/>
      <c r="D17" s="28"/>
      <c r="E17" s="28"/>
      <c r="F17" s="28"/>
      <c r="G17" s="28"/>
      <c r="H17" s="28"/>
      <c r="I17" s="28"/>
      <c r="J17" s="28"/>
      <c r="K17" s="116"/>
      <c r="L17" s="28"/>
      <c r="M17" s="63"/>
      <c r="N17" s="10"/>
    </row>
    <row r="18" ht="15" customHeight="1">
      <c r="A18" s="13"/>
      <c r="B18" s="29"/>
      <c r="C18" s="29"/>
      <c r="D18" s="29"/>
      <c r="E18" s="29"/>
      <c r="F18" s="13"/>
      <c r="G18" s="13"/>
      <c r="H18" s="13"/>
      <c r="I18" s="13"/>
      <c r="J18" s="13"/>
      <c r="K18" s="13"/>
      <c r="L18" s="13"/>
      <c r="M18" s="13"/>
      <c r="N18" s="10"/>
    </row>
    <row r="19" ht="15" customHeight="1">
      <c r="A19" t="s" s="33">
        <v>120</v>
      </c>
      <c r="B19" s="18" cm="1">
        <f t="array" ref="B19">170000+363000+370000+218000</f>
        <v>1121000</v>
      </c>
      <c r="C19" s="92" cm="1">
        <f t="array" ref="C19">199000+218000+251000+150000</f>
        <v>818000</v>
      </c>
      <c r="D19" s="18" cm="1">
        <f t="array" ref="D19">782000+241000+586000+87000+358000</f>
        <v>2054000</v>
      </c>
      <c r="E19" s="18" cm="1">
        <f t="array" ref="E19">560000+218500</f>
        <v>778500</v>
      </c>
      <c r="F19" s="18" cm="1">
        <f t="array" ref="F19">267000+185000+365000+249000</f>
        <v>1066000</v>
      </c>
      <c r="G19" s="18" cm="1">
        <f t="array" ref="G19">139000+648000+66000+189000+291000</f>
        <v>1333000</v>
      </c>
      <c r="H19" s="18" cm="1">
        <f t="array" ref="H19">794000+170000+74000+90000</f>
        <v>1128000</v>
      </c>
      <c r="I19" s="92" cm="1">
        <f t="array" ref="I19">206000+207000+97000+540000</f>
        <v>1050000</v>
      </c>
      <c r="J19" s="92" cm="1">
        <f t="array" ref="J19">618000+394000+218500+137000</f>
        <v>1367500</v>
      </c>
      <c r="K19" s="92" cm="1">
        <f t="array" ref="K19">1052000+231000+1311000+301000+95000</f>
        <v>2990000</v>
      </c>
      <c r="L19" s="18" cm="1">
        <f t="array" ref="L19">98000+321000+220000+232000</f>
        <v>871000</v>
      </c>
      <c r="M19" s="92" cm="1">
        <f t="array" ref="M19">256000+133000+233000+529000+103000</f>
        <v>1254000</v>
      </c>
      <c r="N19" s="98" cm="1">
        <f t="array" ref="N19">SUM(B19:M19)</f>
        <v>15831000</v>
      </c>
    </row>
    <row r="20" ht="15" customHeight="1">
      <c r="A20" t="s" s="33">
        <v>38</v>
      </c>
      <c r="B20" s="18"/>
      <c r="C20" s="18"/>
      <c r="D20" s="18"/>
      <c r="E20" s="18"/>
      <c r="F20" s="18"/>
      <c r="G20" s="18"/>
      <c r="H20" s="18"/>
      <c r="I20" s="18"/>
      <c r="J20" s="18"/>
      <c r="K20" s="18"/>
      <c r="L20" s="18"/>
      <c r="M20" s="18"/>
      <c r="N20" s="98" cm="1">
        <f t="array" ref="N20">SUM(B20:M20)</f>
        <v>0</v>
      </c>
    </row>
    <row r="21" ht="15" customHeight="1">
      <c r="A21" t="s" s="33">
        <v>121</v>
      </c>
      <c r="B21" s="18"/>
      <c r="C21" s="18"/>
      <c r="D21" s="18"/>
      <c r="E21" s="18"/>
      <c r="F21" s="18"/>
      <c r="G21" s="18"/>
      <c r="H21" s="18"/>
      <c r="I21" s="18"/>
      <c r="J21" s="18"/>
      <c r="K21" s="18"/>
      <c r="L21" s="18"/>
      <c r="M21" s="18"/>
      <c r="N21" s="19" cm="1">
        <f t="array" ref="N21">SUM(B21:M21)</f>
        <v>0</v>
      </c>
    </row>
    <row r="22" ht="15" customHeight="1">
      <c r="A22" t="s" s="33">
        <v>122</v>
      </c>
      <c r="B22" s="18"/>
      <c r="C22" s="18"/>
      <c r="D22" s="18"/>
      <c r="E22" s="18"/>
      <c r="F22" s="18"/>
      <c r="G22" s="18"/>
      <c r="H22" s="18"/>
      <c r="I22" s="18"/>
      <c r="J22" s="18"/>
      <c r="K22" s="18"/>
      <c r="L22" s="18"/>
      <c r="M22" s="18"/>
      <c r="N22" s="19" cm="1">
        <f t="array" ref="N22">SUM(B22:M22)</f>
        <v>0</v>
      </c>
    </row>
    <row r="23" ht="15" customHeight="1">
      <c r="A23" t="s" s="33">
        <v>49</v>
      </c>
      <c r="B23" s="18"/>
      <c r="C23" s="18"/>
      <c r="D23" s="18"/>
      <c r="E23" s="18"/>
      <c r="F23" s="18"/>
      <c r="G23" s="18"/>
      <c r="H23" s="18"/>
      <c r="I23" s="18"/>
      <c r="J23" s="18"/>
      <c r="K23" s="18"/>
      <c r="L23" s="18"/>
      <c r="M23" s="18"/>
      <c r="N23" s="19" cm="1">
        <f t="array" ref="N23">SUM(B23:M23)</f>
        <v>0</v>
      </c>
    </row>
    <row r="24" ht="15" customHeight="1">
      <c r="A24" s="30"/>
      <c r="B24" s="23"/>
      <c r="C24" s="23"/>
      <c r="D24" s="23"/>
      <c r="E24" s="23"/>
      <c r="F24" s="23"/>
      <c r="G24" s="23"/>
      <c r="H24" s="23"/>
      <c r="I24" s="45"/>
      <c r="J24" s="23"/>
      <c r="K24" s="23"/>
      <c r="L24" s="23"/>
      <c r="M24" s="23"/>
      <c r="N24" s="27"/>
    </row>
    <row r="25" ht="15" customHeight="1">
      <c r="A25" s="11"/>
      <c r="B25" s="26"/>
      <c r="C25" s="26"/>
      <c r="D25" s="26"/>
      <c r="E25" s="26"/>
      <c r="F25" s="26"/>
      <c r="G25" s="26"/>
      <c r="H25" s="26"/>
      <c r="I25" s="26"/>
      <c r="J25" s="26"/>
      <c r="K25" s="26"/>
      <c r="L25" s="26"/>
      <c r="M25" s="26"/>
      <c r="N25" s="27"/>
    </row>
    <row r="26" ht="23" customHeight="1">
      <c r="A26" t="s" s="7">
        <v>6</v>
      </c>
      <c r="B26" s="8"/>
      <c r="C26" s="8"/>
      <c r="D26" s="9"/>
      <c r="E26" s="9"/>
      <c r="F26" s="9"/>
      <c r="G26" s="9"/>
      <c r="H26" s="9"/>
      <c r="I26" s="9"/>
      <c r="J26" s="9"/>
      <c r="K26" s="9"/>
      <c r="L26" s="9"/>
      <c r="M26" s="9"/>
      <c r="N26" s="27"/>
    </row>
    <row r="27" ht="23" customHeight="1">
      <c r="A27" t="s" s="7">
        <v>156</v>
      </c>
      <c r="B27" s="8"/>
      <c r="C27" s="8"/>
      <c r="D27" s="12"/>
      <c r="E27" s="12"/>
      <c r="F27" s="12"/>
      <c r="G27" s="12"/>
      <c r="H27" s="12"/>
      <c r="I27" s="12"/>
      <c r="J27" s="12"/>
      <c r="K27" s="12"/>
      <c r="L27" s="12"/>
      <c r="M27" s="12"/>
      <c r="N27" s="27"/>
    </row>
    <row r="28" ht="23" customHeight="1">
      <c r="A28" s="8"/>
      <c r="B28" s="8"/>
      <c r="C28" s="8"/>
      <c r="D28" s="9"/>
      <c r="E28" s="9"/>
      <c r="F28" s="9"/>
      <c r="G28" s="9"/>
      <c r="H28" s="9"/>
      <c r="I28" s="9"/>
      <c r="J28" s="9"/>
      <c r="K28" s="9"/>
      <c r="L28" s="9"/>
      <c r="M28" s="9"/>
      <c r="N28" s="27"/>
    </row>
    <row r="29" ht="15" customHeight="1">
      <c r="A29" s="13"/>
      <c r="B29" s="13"/>
      <c r="C29" s="13"/>
      <c r="D29" s="13"/>
      <c r="E29" s="13"/>
      <c r="F29" s="13"/>
      <c r="G29" s="13"/>
      <c r="H29" s="13"/>
      <c r="I29" s="13"/>
      <c r="J29" s="13"/>
      <c r="K29" s="13"/>
      <c r="L29" s="13"/>
      <c r="M29" s="13"/>
      <c r="N29" s="78"/>
    </row>
    <row r="30" ht="15" customHeight="1">
      <c r="A30" t="s" s="32">
        <v>28</v>
      </c>
      <c r="B30" t="s" s="14">
        <v>9</v>
      </c>
      <c r="C30" t="s" s="14">
        <v>10</v>
      </c>
      <c r="D30" t="s" s="14">
        <v>11</v>
      </c>
      <c r="E30" t="s" s="14">
        <v>12</v>
      </c>
      <c r="F30" t="s" s="14">
        <v>13</v>
      </c>
      <c r="G30" t="s" s="14">
        <v>14</v>
      </c>
      <c r="H30" t="s" s="14">
        <v>15</v>
      </c>
      <c r="I30" t="s" s="14">
        <v>16</v>
      </c>
      <c r="J30" t="s" s="14">
        <v>17</v>
      </c>
      <c r="K30" t="s" s="14">
        <v>18</v>
      </c>
      <c r="L30" t="s" s="14">
        <v>19</v>
      </c>
      <c r="M30" t="s" s="14">
        <v>20</v>
      </c>
      <c r="N30" t="s" s="73">
        <v>154</v>
      </c>
    </row>
    <row r="31" ht="15" customHeight="1">
      <c r="A31" t="s" s="33">
        <v>29</v>
      </c>
      <c r="B31" s="79" cm="1">
        <f t="array" ref="B31">6402/4</f>
        <v>1600.5</v>
      </c>
      <c r="C31" s="79" cm="1">
        <f t="array" ref="C31">6431/4</f>
        <v>1607.75</v>
      </c>
      <c r="D31" s="79" cm="1">
        <f t="array" ref="D31">7555/5</f>
        <v>1511</v>
      </c>
      <c r="E31" s="80" cm="1">
        <f t="array" ref="E31">6800/4</f>
        <v>1700</v>
      </c>
      <c r="F31" s="80" cm="1">
        <f t="array" ref="F31">6246/4</f>
        <v>1561.5</v>
      </c>
      <c r="G31" s="80" cm="1">
        <f t="array" ref="G31">6837/5</f>
        <v>1367.4</v>
      </c>
      <c r="H31" s="80" cm="1">
        <f t="array" ref="H31">6028/4</f>
        <v>1507</v>
      </c>
      <c r="I31" s="80" cm="1">
        <f t="array" ref="I31">6102/4</f>
        <v>1525.5</v>
      </c>
      <c r="J31" s="17" cm="1">
        <f t="array" ref="J31">7745/5</f>
        <v>1549</v>
      </c>
      <c r="K31" s="17" cm="1">
        <f t="array" ref="K31">5966/4</f>
        <v>1491.5</v>
      </c>
      <c r="L31" s="17" cm="1">
        <f t="array" ref="L31">5796/4</f>
        <v>1449</v>
      </c>
      <c r="M31" s="17" cm="1">
        <f t="array" ref="M31">7079/5</f>
        <v>1415.8</v>
      </c>
      <c r="N31" s="117" cm="1">
        <f t="array" ref="N31">AVERAGE(B31:M31)</f>
        <v>1523.829166666670</v>
      </c>
    </row>
    <row r="32" ht="15" customHeight="1">
      <c r="A32" t="s" s="33">
        <v>30</v>
      </c>
      <c r="B32" s="80" cm="1">
        <f t="array" ref="B32">784/5</f>
        <v>156.8</v>
      </c>
      <c r="C32" s="80" cm="1">
        <f t="array" ref="C32">420/4</f>
        <v>105</v>
      </c>
      <c r="D32" s="80" cm="1">
        <f t="array" ref="D32">379/4</f>
        <v>94.75</v>
      </c>
      <c r="E32" s="80" cm="1">
        <f t="array" ref="E32">446/4</f>
        <v>111.5</v>
      </c>
      <c r="F32" s="80" cm="1">
        <f t="array" ref="F32">399/5</f>
        <v>79.8</v>
      </c>
      <c r="G32" s="80" cm="1">
        <f t="array" ref="G32">265/4</f>
        <v>66.25</v>
      </c>
      <c r="H32" s="80" cm="1">
        <f t="array" ref="H32">446/5</f>
        <v>89.2</v>
      </c>
      <c r="I32" s="80" cm="1">
        <f t="array" ref="I32">190/3</f>
        <v>63.3333333333333</v>
      </c>
      <c r="J32" s="118" cm="1">
        <f t="array" ref="J32">366/4</f>
        <v>91.5</v>
      </c>
      <c r="K32" s="118" cm="1">
        <f t="array" ref="K32">353/5</f>
        <v>70.59999999999999</v>
      </c>
      <c r="L32" s="118" cm="1">
        <f t="array" ref="L32">318/4</f>
        <v>79.5</v>
      </c>
      <c r="M32" s="17" cm="1">
        <f t="array" ref="M32">(1195-1061)/2</f>
        <v>67</v>
      </c>
      <c r="N32" s="82" cm="1">
        <f t="array" ref="N32">AVERAGE(B32:M32)</f>
        <v>89.6027777777778</v>
      </c>
    </row>
    <row r="33" ht="15" customHeight="1">
      <c r="A33" t="s" s="33">
        <v>31</v>
      </c>
      <c r="B33" s="80"/>
      <c r="C33" s="80">
        <v>402</v>
      </c>
      <c r="D33" s="80">
        <v>217</v>
      </c>
      <c r="E33" s="80">
        <v>406</v>
      </c>
      <c r="F33" s="80">
        <v>300</v>
      </c>
      <c r="G33" s="80">
        <v>318</v>
      </c>
      <c r="H33" s="80"/>
      <c r="I33" s="17">
        <v>354</v>
      </c>
      <c r="J33" s="17">
        <v>341</v>
      </c>
      <c r="K33" s="17">
        <v>331</v>
      </c>
      <c r="L33" s="17">
        <v>369</v>
      </c>
      <c r="M33" s="17">
        <v>266</v>
      </c>
      <c r="N33" s="82" cm="1">
        <f t="array" ref="N33">AVERAGE(B33:M33)</f>
        <v>330.4</v>
      </c>
    </row>
    <row r="34" ht="15" customHeight="1">
      <c r="A34" t="s" s="33">
        <v>32</v>
      </c>
      <c r="B34" s="80" cm="1">
        <f t="array" ref="B34">1052+50</f>
        <v>1102</v>
      </c>
      <c r="C34" s="80" cm="1">
        <f t="array" ref="C34">1033+44+60</f>
        <v>1137</v>
      </c>
      <c r="D34" s="80" cm="1">
        <f t="array" ref="D34">48+1075+24</f>
        <v>1147</v>
      </c>
      <c r="E34" s="80" cm="1">
        <f t="array" ref="E34">119+1263+16</f>
        <v>1398</v>
      </c>
      <c r="F34" s="80" cm="1">
        <f t="array" ref="F34">44+978+44</f>
        <v>1066</v>
      </c>
      <c r="G34" s="80" cm="1">
        <f t="array" ref="G34">34+1358+23</f>
        <v>1415</v>
      </c>
      <c r="H34" s="80" cm="1">
        <f t="array" ref="H34">38+1387+35</f>
        <v>1460</v>
      </c>
      <c r="I34" s="17" cm="1">
        <f t="array" ref="I34">43+1029+43</f>
        <v>1115</v>
      </c>
      <c r="J34" s="17" cm="1">
        <f t="array" ref="J34">40+978+37</f>
        <v>1055</v>
      </c>
      <c r="K34" s="17" cm="1">
        <f t="array" ref="K34">52+1221+44</f>
        <v>1317</v>
      </c>
      <c r="L34" s="17">
        <v>1000</v>
      </c>
      <c r="M34" s="17" cm="1">
        <f t="array" ref="M34">69+1372+30</f>
        <v>1471</v>
      </c>
      <c r="N34" s="82" cm="1">
        <f t="array" ref="N34">AVERAGE(B34:M34)</f>
        <v>1223.583333333330</v>
      </c>
    </row>
    <row r="35" ht="15" customHeight="1">
      <c r="A35" t="s" s="33">
        <v>33</v>
      </c>
      <c r="B35" s="80" cm="1">
        <f t="array" ref="B35">1130/4</f>
        <v>282.5</v>
      </c>
      <c r="C35" s="80" cm="1">
        <f t="array" ref="C35">1444/4</f>
        <v>361</v>
      </c>
      <c r="D35" s="80" cm="1">
        <f t="array" ref="D35">1624/5</f>
        <v>324.8</v>
      </c>
      <c r="E35" s="80" cm="1">
        <f t="array" ref="E35">1341/4</f>
        <v>335.25</v>
      </c>
      <c r="F35" s="80" cm="1">
        <f t="array" ref="F35">1281/4</f>
        <v>320.25</v>
      </c>
      <c r="G35" s="80" cm="1">
        <f t="array" ref="G35">1405/5</f>
        <v>281</v>
      </c>
      <c r="H35" s="80" cm="1">
        <f t="array" ref="H35">1334/4</f>
        <v>333.5</v>
      </c>
      <c r="I35" s="80" cm="1">
        <f t="array" ref="I35">1047/4</f>
        <v>261.75</v>
      </c>
      <c r="J35" s="17" cm="1">
        <f t="array" ref="J35">1699/5</f>
        <v>339.8</v>
      </c>
      <c r="K35" s="80" cm="1">
        <f t="array" ref="K35">1367/4</f>
        <v>341.75</v>
      </c>
      <c r="L35" s="17" cm="1">
        <f t="array" ref="L35">1348/4</f>
        <v>337</v>
      </c>
      <c r="M35" s="17" cm="1">
        <f t="array" ref="M35">1324/5</f>
        <v>264.8</v>
      </c>
      <c r="N35" s="82" cm="1">
        <f t="array" ref="N35">AVERAGE(B35:M35)</f>
        <v>315.283333333333</v>
      </c>
    </row>
    <row r="36" ht="15" customHeight="1">
      <c r="A36" s="40">
        <v>1</v>
      </c>
      <c r="B36" s="80"/>
      <c r="C36" s="80"/>
      <c r="D36" s="80"/>
      <c r="E36" s="80"/>
      <c r="F36" s="80"/>
      <c r="G36" s="80"/>
      <c r="H36" s="80"/>
      <c r="I36" s="35"/>
      <c r="J36" s="35"/>
      <c r="K36" s="35"/>
      <c r="L36" s="35"/>
      <c r="M36" s="35"/>
      <c r="N36" s="119"/>
    </row>
    <row r="37" ht="15" customHeight="1">
      <c r="A37" s="40">
        <v>2</v>
      </c>
      <c r="B37" s="80"/>
      <c r="C37" s="80"/>
      <c r="D37" s="80"/>
      <c r="E37" s="80"/>
      <c r="F37" s="80"/>
      <c r="G37" s="80"/>
      <c r="H37" s="80"/>
      <c r="I37" s="35"/>
      <c r="J37" s="35"/>
      <c r="K37" s="35"/>
      <c r="L37" s="35"/>
      <c r="M37" s="35"/>
      <c r="N37" s="119"/>
    </row>
    <row r="38" ht="15" customHeight="1">
      <c r="A38" s="40">
        <v>3</v>
      </c>
      <c r="B38" s="80"/>
      <c r="C38" s="80"/>
      <c r="D38" s="80"/>
      <c r="E38" s="80"/>
      <c r="F38" s="80"/>
      <c r="G38" s="80"/>
      <c r="H38" s="80"/>
      <c r="I38" s="35"/>
      <c r="J38" s="35"/>
      <c r="K38" s="35"/>
      <c r="L38" s="35"/>
      <c r="M38" s="35"/>
      <c r="N38" s="119"/>
    </row>
    <row r="39" ht="15" customHeight="1">
      <c r="A39" t="s" s="33">
        <v>34</v>
      </c>
      <c r="B39" s="35"/>
      <c r="C39" s="35"/>
      <c r="D39" s="35"/>
      <c r="E39" s="35"/>
      <c r="F39" s="35"/>
      <c r="G39" s="35"/>
      <c r="H39" s="35"/>
      <c r="I39" s="35"/>
      <c r="J39" s="35"/>
      <c r="K39" s="35"/>
      <c r="L39" s="35"/>
      <c r="M39" s="35"/>
      <c r="N39" s="119"/>
    </row>
    <row r="40" ht="15" customHeight="1">
      <c r="A40" s="37"/>
      <c r="B40" s="83"/>
      <c r="C40" s="83"/>
      <c r="D40" s="83"/>
      <c r="E40" s="83"/>
      <c r="F40" s="83"/>
      <c r="G40" s="84"/>
      <c r="H40" s="83"/>
      <c r="I40" s="37"/>
      <c r="J40" s="37"/>
      <c r="K40" s="37"/>
      <c r="L40" s="37"/>
      <c r="M40" s="37"/>
      <c r="N40" s="120"/>
    </row>
    <row r="41" ht="15" customHeight="1">
      <c r="A41" t="s" s="32">
        <v>28</v>
      </c>
      <c r="B41" t="s" s="14">
        <v>9</v>
      </c>
      <c r="C41" t="s" s="14">
        <v>10</v>
      </c>
      <c r="D41" t="s" s="14">
        <v>11</v>
      </c>
      <c r="E41" t="s" s="14">
        <v>12</v>
      </c>
      <c r="F41" t="s" s="14">
        <v>13</v>
      </c>
      <c r="G41" t="s" s="14">
        <v>14</v>
      </c>
      <c r="H41" t="s" s="14">
        <v>15</v>
      </c>
      <c r="I41" t="s" s="14">
        <v>16</v>
      </c>
      <c r="J41" t="s" s="14">
        <v>17</v>
      </c>
      <c r="K41" t="s" s="14">
        <v>18</v>
      </c>
      <c r="L41" t="s" s="14">
        <v>19</v>
      </c>
      <c r="M41" t="s" s="14">
        <v>20</v>
      </c>
      <c r="N41" s="119"/>
    </row>
    <row r="42" ht="15" customHeight="1">
      <c r="A42" t="s" s="33">
        <v>35</v>
      </c>
      <c r="B42" s="17" cm="1">
        <f t="array" ref="B42">12+80</f>
        <v>92</v>
      </c>
      <c r="C42" s="17" cm="1">
        <f t="array" ref="C42">88+7+2</f>
        <v>97</v>
      </c>
      <c r="D42" s="17">
        <v>113</v>
      </c>
      <c r="E42" s="17">
        <v>113</v>
      </c>
      <c r="F42" s="17" cm="1">
        <f t="array" ref="F42">4+103+3</f>
        <v>110</v>
      </c>
      <c r="G42" s="17">
        <v>89</v>
      </c>
      <c r="H42" s="17">
        <v>61</v>
      </c>
      <c r="I42" s="17">
        <v>86</v>
      </c>
      <c r="J42" s="17">
        <v>78</v>
      </c>
      <c r="K42" s="17">
        <v>53</v>
      </c>
      <c r="L42" s="17">
        <v>42</v>
      </c>
      <c r="M42" s="17">
        <v>57</v>
      </c>
      <c r="N42" s="119" cm="1">
        <f t="array" ref="N42">AVERAGE(B42:M42)</f>
        <v>82.5833333333333</v>
      </c>
    </row>
    <row r="43" ht="15" customHeight="1">
      <c r="A43" t="s" s="33">
        <v>85</v>
      </c>
      <c r="B43" s="35"/>
      <c r="C43" s="17">
        <v>37</v>
      </c>
      <c r="D43" s="17">
        <v>42</v>
      </c>
      <c r="E43" s="17">
        <v>25</v>
      </c>
      <c r="F43" s="17">
        <v>52</v>
      </c>
      <c r="G43" s="17">
        <v>23</v>
      </c>
      <c r="H43" s="17">
        <v>73</v>
      </c>
      <c r="I43" s="17">
        <v>26</v>
      </c>
      <c r="J43" s="17">
        <v>42</v>
      </c>
      <c r="K43" s="17">
        <v>22</v>
      </c>
      <c r="L43" s="17">
        <v>25</v>
      </c>
      <c r="M43" s="17">
        <v>15</v>
      </c>
      <c r="N43" s="119" cm="1">
        <f t="array" ref="N43">SUM(B43:M43)/12</f>
        <v>31.8333333333333</v>
      </c>
    </row>
    <row r="44" ht="15" customHeight="1">
      <c r="A44" t="s" s="33">
        <v>37</v>
      </c>
      <c r="B44" s="35"/>
      <c r="C44" s="17">
        <v>16</v>
      </c>
      <c r="D44" s="35"/>
      <c r="E44" s="17">
        <v>25</v>
      </c>
      <c r="F44" s="17">
        <v>22</v>
      </c>
      <c r="G44" s="17">
        <v>4</v>
      </c>
      <c r="H44" s="35"/>
      <c r="I44" s="17">
        <v>1</v>
      </c>
      <c r="J44" s="17">
        <v>8</v>
      </c>
      <c r="K44" s="17">
        <v>25</v>
      </c>
      <c r="L44" s="17">
        <v>15</v>
      </c>
      <c r="M44" s="17">
        <v>34</v>
      </c>
      <c r="N44" s="119" cm="1">
        <f t="array" ref="N44">SUM(B44:M44)/12</f>
        <v>12.5</v>
      </c>
    </row>
    <row r="45" ht="15" customHeight="1">
      <c r="A45" t="s" s="33">
        <v>100</v>
      </c>
      <c r="B45" s="35"/>
      <c r="C45" s="35"/>
      <c r="D45" s="35"/>
      <c r="E45" s="17">
        <v>34</v>
      </c>
      <c r="F45" s="17">
        <v>18</v>
      </c>
      <c r="G45" s="35"/>
      <c r="H45" s="17">
        <v>16</v>
      </c>
      <c r="I45" s="35"/>
      <c r="J45" s="17">
        <v>23</v>
      </c>
      <c r="K45" s="17">
        <v>22</v>
      </c>
      <c r="L45" s="17">
        <v>15</v>
      </c>
      <c r="M45" s="35"/>
      <c r="N45" s="119" cm="1">
        <f t="array" ref="N45">SUM(B45:M45)/12</f>
        <v>10.6666666666667</v>
      </c>
    </row>
    <row r="46" ht="15" customHeight="1">
      <c r="A46" t="s" s="33">
        <v>101</v>
      </c>
      <c r="B46" s="35"/>
      <c r="C46" s="35"/>
      <c r="D46" s="35"/>
      <c r="E46" s="35"/>
      <c r="F46" s="17">
        <v>21</v>
      </c>
      <c r="G46" s="17">
        <v>28</v>
      </c>
      <c r="H46" s="35"/>
      <c r="I46" s="35"/>
      <c r="J46" s="17">
        <v>32</v>
      </c>
      <c r="K46" s="35"/>
      <c r="L46" s="17">
        <v>16</v>
      </c>
      <c r="M46" s="35"/>
      <c r="N46" s="119" cm="1">
        <f t="array" ref="N46">SUM(B46:M46)/12</f>
        <v>8.08333333333333</v>
      </c>
    </row>
    <row r="47" ht="15" customHeight="1">
      <c r="A47" t="s" s="33">
        <v>38</v>
      </c>
      <c r="B47" s="17">
        <v>129</v>
      </c>
      <c r="C47" s="17">
        <v>129</v>
      </c>
      <c r="D47" s="17">
        <v>129</v>
      </c>
      <c r="E47" s="17">
        <v>129</v>
      </c>
      <c r="F47" s="17">
        <v>129</v>
      </c>
      <c r="G47" s="17">
        <v>129</v>
      </c>
      <c r="H47" s="17">
        <v>122</v>
      </c>
      <c r="I47" s="17">
        <v>122</v>
      </c>
      <c r="J47" s="17">
        <v>122</v>
      </c>
      <c r="K47" s="17">
        <v>122</v>
      </c>
      <c r="L47" s="17">
        <v>122</v>
      </c>
      <c r="M47" s="17">
        <v>122</v>
      </c>
      <c r="N47" s="119" cm="1">
        <f t="array" ref="N47">SUM(B47:M47)/12</f>
        <v>125.5</v>
      </c>
    </row>
    <row r="48" ht="15" customHeight="1">
      <c r="A48" s="39"/>
      <c r="B48" s="35"/>
      <c r="C48" s="35"/>
      <c r="D48" s="35"/>
      <c r="E48" s="35"/>
      <c r="F48" s="35"/>
      <c r="G48" s="35"/>
      <c r="H48" s="35"/>
      <c r="I48" s="35"/>
      <c r="J48" s="35"/>
      <c r="K48" s="35"/>
      <c r="L48" s="35"/>
      <c r="M48" s="35"/>
      <c r="N48" s="119"/>
    </row>
    <row r="49" ht="29" customHeight="1">
      <c r="A49" t="s" s="68">
        <v>86</v>
      </c>
      <c r="B49" t="s" s="14">
        <v>9</v>
      </c>
      <c r="C49" t="s" s="14">
        <v>10</v>
      </c>
      <c r="D49" t="s" s="14">
        <v>11</v>
      </c>
      <c r="E49" t="s" s="14">
        <v>12</v>
      </c>
      <c r="F49" t="s" s="14">
        <v>13</v>
      </c>
      <c r="G49" t="s" s="14">
        <v>14</v>
      </c>
      <c r="H49" t="s" s="14">
        <v>15</v>
      </c>
      <c r="I49" t="s" s="14">
        <v>16</v>
      </c>
      <c r="J49" t="s" s="14">
        <v>17</v>
      </c>
      <c r="K49" t="s" s="14">
        <v>18</v>
      </c>
      <c r="L49" t="s" s="14">
        <v>19</v>
      </c>
      <c r="M49" t="s" s="14">
        <v>20</v>
      </c>
      <c r="N49" s="119"/>
    </row>
    <row r="50" ht="15" customHeight="1">
      <c r="A50" t="s" s="33">
        <v>39</v>
      </c>
      <c r="B50" s="17" cm="1">
        <f t="array" ref="B50">B61</f>
        <v>120</v>
      </c>
      <c r="C50" s="17" cm="1">
        <f t="array" ref="C50">C61</f>
        <v>213</v>
      </c>
      <c r="D50" s="17" cm="1">
        <f t="array" ref="D50">D61</f>
        <v>235</v>
      </c>
      <c r="E50" s="17" cm="1">
        <f t="array" ref="E50">E61</f>
        <v>275</v>
      </c>
      <c r="F50" s="17" cm="1">
        <f t="array" ref="F50">F61</f>
        <v>235</v>
      </c>
      <c r="G50" s="17" cm="1">
        <f t="array" ref="G50">G61</f>
        <v>261</v>
      </c>
      <c r="H50" s="35"/>
      <c r="I50" s="35"/>
      <c r="J50" s="35"/>
      <c r="K50" s="35"/>
      <c r="L50" s="35"/>
      <c r="M50" s="35"/>
      <c r="N50" s="119"/>
    </row>
    <row r="51" ht="15" customHeight="1">
      <c r="A51" t="s" s="33">
        <v>40</v>
      </c>
      <c r="B51" s="35"/>
      <c r="C51" s="121">
        <v>213</v>
      </c>
      <c r="D51" s="104">
        <v>198</v>
      </c>
      <c r="E51" s="104">
        <v>159</v>
      </c>
      <c r="F51" s="104">
        <v>133</v>
      </c>
      <c r="G51" s="122">
        <v>301</v>
      </c>
      <c r="H51" s="17">
        <v>249</v>
      </c>
      <c r="I51" s="17">
        <v>187</v>
      </c>
      <c r="J51" s="17">
        <v>214</v>
      </c>
      <c r="K51" s="17">
        <v>162</v>
      </c>
      <c r="L51" s="17">
        <v>178</v>
      </c>
      <c r="M51" s="17">
        <v>178</v>
      </c>
      <c r="N51" s="119" cm="1">
        <f t="array" ref="N51">AVERAGE(C51:M51)</f>
        <v>197.454545454545</v>
      </c>
    </row>
    <row r="52" ht="15" customHeight="1">
      <c r="A52" t="s" s="33">
        <v>41</v>
      </c>
      <c r="B52" s="35"/>
      <c r="C52" s="35"/>
      <c r="D52" s="17">
        <v>21</v>
      </c>
      <c r="E52" s="17">
        <v>9</v>
      </c>
      <c r="F52" s="17">
        <v>13</v>
      </c>
      <c r="G52" s="35"/>
      <c r="H52" s="17">
        <v>19</v>
      </c>
      <c r="I52" s="17">
        <v>15</v>
      </c>
      <c r="J52" s="17">
        <v>15</v>
      </c>
      <c r="K52" s="17">
        <v>25</v>
      </c>
      <c r="L52" s="35"/>
      <c r="M52" s="35"/>
      <c r="N52" s="119" cm="1">
        <f t="array" ref="N52">AVERAGE(C52:M52)</f>
        <v>16.7142857142857</v>
      </c>
    </row>
    <row r="53" ht="15" customHeight="1">
      <c r="A53" t="s" s="33">
        <v>42</v>
      </c>
      <c r="B53" s="39"/>
      <c r="C53" s="35"/>
      <c r="D53" s="35"/>
      <c r="E53" s="35"/>
      <c r="F53" s="35"/>
      <c r="G53" s="17">
        <v>92</v>
      </c>
      <c r="H53" s="35"/>
      <c r="I53" s="35"/>
      <c r="J53" s="35"/>
      <c r="K53" s="39"/>
      <c r="L53" s="39"/>
      <c r="M53" s="40">
        <v>88</v>
      </c>
      <c r="N53" s="119" cm="1">
        <f t="array" ref="N53">AVERAGE(C53:M53)</f>
        <v>90</v>
      </c>
    </row>
    <row r="54" ht="15" customHeight="1">
      <c r="A54" t="s" s="33">
        <v>87</v>
      </c>
      <c r="B54" s="39"/>
      <c r="C54" s="17">
        <v>41</v>
      </c>
      <c r="D54" s="17">
        <v>42</v>
      </c>
      <c r="E54" s="17">
        <v>44</v>
      </c>
      <c r="F54" s="17">
        <v>45</v>
      </c>
      <c r="G54" s="17">
        <v>42</v>
      </c>
      <c r="H54" s="17">
        <v>38</v>
      </c>
      <c r="I54" s="17">
        <v>42</v>
      </c>
      <c r="J54" s="17">
        <v>42</v>
      </c>
      <c r="K54" s="40">
        <v>36</v>
      </c>
      <c r="L54" s="40">
        <v>43</v>
      </c>
      <c r="M54" s="40">
        <v>43</v>
      </c>
      <c r="N54" s="119" cm="1">
        <f t="array" ref="N54">AVERAGE(C54:M54)</f>
        <v>41.6363636363636</v>
      </c>
    </row>
    <row r="55" ht="15" customHeight="1">
      <c r="A55" t="s" s="33">
        <v>88</v>
      </c>
      <c r="B55" s="39"/>
      <c r="C55" s="17">
        <v>39</v>
      </c>
      <c r="D55" s="17">
        <v>22</v>
      </c>
      <c r="E55" s="17">
        <v>30</v>
      </c>
      <c r="F55" s="17">
        <v>42</v>
      </c>
      <c r="G55" s="17">
        <v>20</v>
      </c>
      <c r="H55" s="17">
        <v>31</v>
      </c>
      <c r="I55" s="40">
        <v>35</v>
      </c>
      <c r="J55" s="40">
        <v>38</v>
      </c>
      <c r="K55" s="17">
        <v>34</v>
      </c>
      <c r="L55" s="40">
        <v>46</v>
      </c>
      <c r="M55" s="39"/>
      <c r="N55" s="119" cm="1">
        <f t="array" ref="N55">AVERAGE(C55:M55)</f>
        <v>33.7</v>
      </c>
    </row>
    <row r="56" ht="15" customHeight="1">
      <c r="A56" t="s" s="33">
        <v>43</v>
      </c>
      <c r="B56" s="39"/>
      <c r="C56" s="35"/>
      <c r="D56" s="35"/>
      <c r="E56" s="35"/>
      <c r="F56" s="35"/>
      <c r="G56" s="17">
        <v>40</v>
      </c>
      <c r="H56" s="35"/>
      <c r="I56" s="35"/>
      <c r="J56" s="35"/>
      <c r="K56" s="35"/>
      <c r="L56" s="39"/>
      <c r="M56" s="40">
        <v>43</v>
      </c>
      <c r="N56" s="36"/>
    </row>
    <row r="57" ht="15" customHeight="1">
      <c r="A57" t="s" s="33">
        <v>125</v>
      </c>
      <c r="B57" s="39"/>
      <c r="C57" s="35"/>
      <c r="D57" s="35"/>
      <c r="E57" s="35"/>
      <c r="F57" s="35"/>
      <c r="G57" s="17">
        <v>55</v>
      </c>
      <c r="H57" s="35"/>
      <c r="I57" s="35"/>
      <c r="J57" s="35"/>
      <c r="K57" s="35"/>
      <c r="L57" s="39"/>
      <c r="M57" s="40">
        <v>61</v>
      </c>
      <c r="N57" s="36"/>
    </row>
    <row r="58" ht="15" customHeight="1">
      <c r="A58" t="s" s="33">
        <v>22</v>
      </c>
      <c r="B58" s="17" cm="1">
        <f t="array" ref="B58">SUM(B50:B57)</f>
        <v>120</v>
      </c>
      <c r="C58" s="17" cm="1">
        <f t="array" ref="C58">SUM(C50:C57)</f>
        <v>506</v>
      </c>
      <c r="D58" s="17" cm="1">
        <f t="array" ref="D58">SUM(D50:D57)</f>
        <v>518</v>
      </c>
      <c r="E58" s="17" cm="1">
        <f t="array" ref="E58">SUM(E50:E57)</f>
        <v>517</v>
      </c>
      <c r="F58" s="17" cm="1">
        <f t="array" ref="F58">SUM(F50:F57)</f>
        <v>468</v>
      </c>
      <c r="G58" s="17" cm="1">
        <f t="array" ref="G58">SUM(G50:G57)</f>
        <v>811</v>
      </c>
      <c r="H58" s="17" cm="1">
        <f t="array" ref="H58">SUM(H50:H57)</f>
        <v>337</v>
      </c>
      <c r="I58" s="17" cm="1">
        <f t="array" ref="I58">SUM(I50:I57)</f>
        <v>279</v>
      </c>
      <c r="J58" s="17" cm="1">
        <f t="array" ref="J58">SUM(J50:J57)</f>
        <v>309</v>
      </c>
      <c r="K58" s="17" cm="1">
        <f t="array" ref="K58">SUM(K50:K57)</f>
        <v>257</v>
      </c>
      <c r="L58" s="17" cm="1">
        <f t="array" ref="L58">SUM(L50:L57)</f>
        <v>267</v>
      </c>
      <c r="M58" s="17" cm="1">
        <f t="array" ref="M58">SUM(M50:M57)</f>
        <v>413</v>
      </c>
      <c r="N58" s="36"/>
    </row>
    <row r="59" ht="15" customHeight="1">
      <c r="A59" s="37"/>
      <c r="B59" s="37"/>
      <c r="C59" s="41"/>
      <c r="D59" s="41"/>
      <c r="E59" s="41"/>
      <c r="F59" s="41"/>
      <c r="G59" s="37"/>
      <c r="H59" s="37"/>
      <c r="I59" s="37"/>
      <c r="J59" s="37"/>
      <c r="K59" s="37"/>
      <c r="L59" s="37"/>
      <c r="M59" s="37"/>
      <c r="N59" s="11"/>
    </row>
    <row r="60" ht="15" customHeight="1">
      <c r="A60" s="37"/>
      <c r="B60" s="123">
        <v>43466</v>
      </c>
      <c r="C60" s="123">
        <v>43132</v>
      </c>
      <c r="D60" s="123">
        <v>43160</v>
      </c>
      <c r="E60" s="123">
        <v>43191</v>
      </c>
      <c r="F60" s="123">
        <v>43221</v>
      </c>
      <c r="G60" s="123">
        <v>43252</v>
      </c>
      <c r="H60" s="123">
        <v>43282</v>
      </c>
      <c r="I60" s="124">
        <v>42948</v>
      </c>
      <c r="J60" s="123">
        <v>42979</v>
      </c>
      <c r="K60" s="123">
        <v>43009</v>
      </c>
      <c r="L60" s="123">
        <v>43405</v>
      </c>
      <c r="M60" s="123">
        <v>43435</v>
      </c>
      <c r="N60" s="11"/>
    </row>
    <row r="61" ht="15" customHeight="1">
      <c r="A61" t="s" s="87">
        <v>102</v>
      </c>
      <c r="B61" s="104" cm="1">
        <f t="array" ref="B61">B62+B63</f>
        <v>120</v>
      </c>
      <c r="C61" s="104" cm="1">
        <f t="array" ref="C61">C62+C63</f>
        <v>213</v>
      </c>
      <c r="D61" s="104" cm="1">
        <f t="array" ref="D61">D62+D63</f>
        <v>235</v>
      </c>
      <c r="E61" s="104" cm="1">
        <f t="array" ref="E61">E62+E63</f>
        <v>275</v>
      </c>
      <c r="F61" s="104" cm="1">
        <f t="array" ref="F61">F62+F63</f>
        <v>235</v>
      </c>
      <c r="G61" s="104" cm="1">
        <f t="array" ref="G61">G62+G63</f>
        <v>261</v>
      </c>
      <c r="H61" s="104" cm="1">
        <f t="array" ref="H61">H62+H63</f>
        <v>216</v>
      </c>
      <c r="I61" s="104" cm="1">
        <f t="array" ref="I61">I62+I63</f>
        <v>220</v>
      </c>
      <c r="J61" s="104" cm="1">
        <f t="array" ref="J61">J62+J63</f>
        <v>205</v>
      </c>
      <c r="K61" s="104" cm="1">
        <f t="array" ref="K61">K62+K63</f>
        <v>180</v>
      </c>
      <c r="L61" s="104" cm="1">
        <f t="array" ref="L61">L62+L63</f>
        <v>215</v>
      </c>
      <c r="M61" s="41"/>
      <c r="N61" s="120" cm="1">
        <f t="array" ref="N61">AVERAGE(B61:M61)</f>
        <v>215.909090909091</v>
      </c>
    </row>
    <row r="62" ht="15" customHeight="1">
      <c r="A62" t="s" s="87">
        <v>157</v>
      </c>
      <c r="B62" s="104">
        <v>120</v>
      </c>
      <c r="C62" s="104">
        <v>115</v>
      </c>
      <c r="D62" s="104">
        <v>120</v>
      </c>
      <c r="E62" s="104">
        <v>140</v>
      </c>
      <c r="F62" s="104">
        <v>125</v>
      </c>
      <c r="G62" s="125">
        <v>112</v>
      </c>
      <c r="H62" s="80">
        <v>106</v>
      </c>
      <c r="I62" s="126">
        <v>115</v>
      </c>
      <c r="J62" s="45">
        <v>110</v>
      </c>
      <c r="K62" s="45">
        <v>100</v>
      </c>
      <c r="L62" s="45">
        <v>105</v>
      </c>
      <c r="M62" s="30"/>
      <c r="N62" s="120" cm="1">
        <f t="array" ref="N62">AVERAGE(B62:M62)</f>
        <v>115.272727272727</v>
      </c>
    </row>
    <row r="63" ht="15" customHeight="1">
      <c r="A63" t="s" s="87">
        <v>158</v>
      </c>
      <c r="B63" s="41"/>
      <c r="C63" s="104" cm="1">
        <f t="array" ref="C63">38+60</f>
        <v>98</v>
      </c>
      <c r="D63" s="104" cm="1">
        <f t="array" ref="D63">45+70</f>
        <v>115</v>
      </c>
      <c r="E63" s="104" cm="1">
        <f t="array" ref="E63">60+75</f>
        <v>135</v>
      </c>
      <c r="F63" s="104" cm="1">
        <f t="array" ref="F63">45+65</f>
        <v>110</v>
      </c>
      <c r="G63" s="103" cm="1">
        <f t="array" ref="G63">66+83</f>
        <v>149</v>
      </c>
      <c r="H63" s="45">
        <v>110</v>
      </c>
      <c r="I63" s="55">
        <v>105</v>
      </c>
      <c r="J63" s="55">
        <v>95</v>
      </c>
      <c r="K63" s="55">
        <v>80</v>
      </c>
      <c r="L63" s="55">
        <v>110</v>
      </c>
      <c r="M63" s="11"/>
      <c r="N63" s="11"/>
    </row>
    <row r="64" ht="15" customHeight="1">
      <c r="A64" s="37"/>
      <c r="B64" s="41"/>
      <c r="C64" s="41"/>
      <c r="D64" s="41"/>
      <c r="E64" s="41"/>
      <c r="F64" s="41"/>
      <c r="G64" s="44"/>
      <c r="H64" s="13"/>
      <c r="I64" s="13"/>
      <c r="J64" s="13"/>
      <c r="K64" s="13"/>
      <c r="L64" s="13"/>
      <c r="M64" s="13"/>
      <c r="N64" s="11"/>
    </row>
    <row r="65" ht="15" customHeight="1">
      <c r="A65" t="s" s="87">
        <v>105</v>
      </c>
      <c r="B65" s="41"/>
      <c r="C65" s="104" cm="1">
        <f t="array" ref="C65">C67+C66</f>
        <v>220</v>
      </c>
      <c r="D65" s="104" cm="1">
        <f t="array" ref="D65">D67+D66</f>
        <v>255</v>
      </c>
      <c r="E65" s="104" cm="1">
        <f t="array" ref="E65">E67+E66</f>
        <v>175</v>
      </c>
      <c r="F65" s="104" cm="1">
        <f t="array" ref="F65">F67+F66</f>
        <v>205</v>
      </c>
      <c r="G65" s="104" cm="1">
        <f t="array" ref="G65">G67+G66</f>
        <v>195</v>
      </c>
      <c r="H65" s="104" cm="1">
        <f t="array" ref="H65">H67+H66</f>
        <v>193</v>
      </c>
      <c r="I65" s="104" cm="1">
        <f t="array" ref="I65">I67+I66</f>
        <v>180</v>
      </c>
      <c r="J65" s="104" cm="1">
        <f t="array" ref="J65">J67+J66</f>
        <v>205</v>
      </c>
      <c r="K65" s="104" cm="1">
        <f t="array" ref="K65">K67+K66</f>
        <v>180</v>
      </c>
      <c r="L65" s="104" cm="1">
        <f t="array" ref="L65">L67+L66</f>
        <v>195</v>
      </c>
      <c r="M65" s="41"/>
      <c r="N65" s="120" cm="1">
        <f t="array" ref="N65">AVERAGE(B65:M65)</f>
        <v>200.3</v>
      </c>
    </row>
    <row r="66" ht="15" customHeight="1">
      <c r="A66" t="s" s="87">
        <v>157</v>
      </c>
      <c r="B66" s="41"/>
      <c r="C66" s="104">
        <v>100</v>
      </c>
      <c r="D66" s="104">
        <v>120</v>
      </c>
      <c r="E66" s="104">
        <v>130</v>
      </c>
      <c r="F66" s="104">
        <v>115</v>
      </c>
      <c r="G66" s="105">
        <v>105</v>
      </c>
      <c r="H66" s="45">
        <v>103</v>
      </c>
      <c r="I66" s="127">
        <v>95</v>
      </c>
      <c r="J66" s="45">
        <v>110</v>
      </c>
      <c r="K66" s="45">
        <v>100</v>
      </c>
      <c r="L66" s="45">
        <v>105</v>
      </c>
      <c r="M66" s="30"/>
      <c r="N66" s="120" cm="1">
        <f t="array" ref="N66">AVERAGE(B66:M66)</f>
        <v>108.3</v>
      </c>
    </row>
    <row r="67" ht="15" customHeight="1">
      <c r="A67" t="s" s="87">
        <v>159</v>
      </c>
      <c r="B67" s="41"/>
      <c r="C67" s="104">
        <v>120</v>
      </c>
      <c r="D67" s="104">
        <v>135</v>
      </c>
      <c r="E67" s="104">
        <v>45</v>
      </c>
      <c r="F67" s="104">
        <v>90</v>
      </c>
      <c r="G67" s="103">
        <v>90</v>
      </c>
      <c r="H67" s="55">
        <v>90</v>
      </c>
      <c r="I67" s="55">
        <v>85</v>
      </c>
      <c r="J67" s="55">
        <v>95</v>
      </c>
      <c r="K67" s="55">
        <v>80</v>
      </c>
      <c r="L67" s="55">
        <v>90</v>
      </c>
      <c r="M67" s="11"/>
      <c r="N67" s="11"/>
    </row>
    <row r="68" ht="15" customHeight="1">
      <c r="A68" t="s" s="87">
        <v>160</v>
      </c>
      <c r="B68" s="41"/>
      <c r="C68" s="41"/>
      <c r="D68" s="41"/>
      <c r="E68" s="41"/>
      <c r="F68" s="41"/>
      <c r="G68" s="12"/>
      <c r="H68" s="11"/>
      <c r="I68" s="11"/>
      <c r="J68" s="11"/>
      <c r="K68" s="11"/>
      <c r="L68" s="11"/>
      <c r="M68" s="11"/>
      <c r="N68" s="11"/>
    </row>
    <row r="69" ht="15" customHeight="1">
      <c r="A69" s="37"/>
      <c r="B69" s="41"/>
      <c r="C69" s="41"/>
      <c r="D69" s="41"/>
      <c r="E69" s="41"/>
      <c r="F69" s="41"/>
      <c r="G69" s="13"/>
      <c r="H69" s="13"/>
      <c r="I69" s="13"/>
      <c r="J69" s="13"/>
      <c r="K69" s="13"/>
      <c r="L69" s="13"/>
      <c r="M69" s="13"/>
      <c r="N69" s="11"/>
    </row>
    <row r="70" ht="15" customHeight="1">
      <c r="A70" t="s" s="88">
        <v>108</v>
      </c>
      <c r="B70" t="s" s="14">
        <v>9</v>
      </c>
      <c r="C70" t="s" s="14">
        <v>10</v>
      </c>
      <c r="D70" t="s" s="14">
        <v>11</v>
      </c>
      <c r="E70" t="s" s="14">
        <v>12</v>
      </c>
      <c r="F70" t="s" s="14">
        <v>13</v>
      </c>
      <c r="G70" t="s" s="14">
        <v>14</v>
      </c>
      <c r="H70" t="s" s="14">
        <v>15</v>
      </c>
      <c r="I70" t="s" s="14">
        <v>16</v>
      </c>
      <c r="J70" t="s" s="14">
        <v>17</v>
      </c>
      <c r="K70" t="s" s="14">
        <v>18</v>
      </c>
      <c r="L70" t="s" s="14">
        <v>19</v>
      </c>
      <c r="M70" t="s" s="14">
        <v>20</v>
      </c>
      <c r="N70" s="36"/>
    </row>
    <row r="71" ht="15" customHeight="1">
      <c r="A71" t="s" s="33">
        <v>109</v>
      </c>
      <c r="B71" s="40">
        <v>24</v>
      </c>
      <c r="C71" s="17">
        <v>25</v>
      </c>
      <c r="D71" s="17">
        <v>26</v>
      </c>
      <c r="E71" s="17">
        <v>30</v>
      </c>
      <c r="F71" s="17">
        <v>20</v>
      </c>
      <c r="G71" s="17">
        <v>18</v>
      </c>
      <c r="H71" s="40">
        <v>24</v>
      </c>
      <c r="I71" s="40">
        <v>20</v>
      </c>
      <c r="J71" s="40">
        <v>22</v>
      </c>
      <c r="K71" s="40">
        <v>24</v>
      </c>
      <c r="L71" s="40">
        <v>17</v>
      </c>
      <c r="M71" s="40">
        <v>16</v>
      </c>
      <c r="N71" s="67" cm="1">
        <f t="array" ref="N71">SUM(B71:M71)</f>
        <v>266</v>
      </c>
    </row>
    <row r="72" ht="15" customHeight="1">
      <c r="A72" t="s" s="33">
        <v>110</v>
      </c>
      <c r="B72" s="40">
        <v>44</v>
      </c>
      <c r="C72" s="17">
        <v>38</v>
      </c>
      <c r="D72" s="17">
        <v>61</v>
      </c>
      <c r="E72" s="17">
        <v>39</v>
      </c>
      <c r="F72" s="17">
        <v>28</v>
      </c>
      <c r="G72" s="17">
        <v>35</v>
      </c>
      <c r="H72" s="40">
        <v>35</v>
      </c>
      <c r="I72" s="40">
        <v>31</v>
      </c>
      <c r="J72" s="40">
        <v>33</v>
      </c>
      <c r="K72" s="40">
        <v>59</v>
      </c>
      <c r="L72" s="40">
        <v>35</v>
      </c>
      <c r="M72" s="40">
        <v>24</v>
      </c>
      <c r="N72" s="67" cm="1">
        <f t="array" ref="N72">SUM(B72:M72)</f>
        <v>462</v>
      </c>
    </row>
    <row r="73" ht="15" customHeight="1">
      <c r="A73" s="37"/>
      <c r="B73" s="37"/>
      <c r="C73" s="41"/>
      <c r="D73" s="41"/>
      <c r="E73" s="41"/>
      <c r="F73" s="41"/>
      <c r="G73" s="37"/>
      <c r="H73" s="37"/>
      <c r="I73" s="37"/>
      <c r="J73" s="37"/>
      <c r="K73" s="37"/>
      <c r="L73" s="37"/>
      <c r="M73" s="37"/>
      <c r="N73" s="11"/>
    </row>
    <row r="74" ht="15" customHeight="1">
      <c r="A74" t="s" s="32">
        <v>28</v>
      </c>
      <c r="B74" t="s" s="14">
        <v>9</v>
      </c>
      <c r="C74" t="s" s="14">
        <v>10</v>
      </c>
      <c r="D74" t="s" s="14">
        <v>11</v>
      </c>
      <c r="E74" t="s" s="14">
        <v>12</v>
      </c>
      <c r="F74" t="s" s="14">
        <v>13</v>
      </c>
      <c r="G74" t="s" s="14">
        <v>14</v>
      </c>
      <c r="H74" t="s" s="14">
        <v>15</v>
      </c>
      <c r="I74" t="s" s="14">
        <v>16</v>
      </c>
      <c r="J74" t="s" s="14">
        <v>17</v>
      </c>
      <c r="K74" t="s" s="14">
        <v>18</v>
      </c>
      <c r="L74" t="s" s="14">
        <v>19</v>
      </c>
      <c r="M74" t="s" s="14">
        <v>20</v>
      </c>
      <c r="N74" s="36"/>
    </row>
    <row r="75" ht="15" customHeight="1">
      <c r="A75" t="s" s="42">
        <v>45</v>
      </c>
      <c r="B75" s="69" cm="1">
        <f t="array" ref="B75">B58/B31</f>
        <v>0.0749765698219306</v>
      </c>
      <c r="C75" s="69" cm="1">
        <f t="array" ref="C75">C58/C31</f>
        <v>0.314725548126263</v>
      </c>
      <c r="D75" s="69" cm="1">
        <f t="array" ref="D75">D58/D31</f>
        <v>0.342819324950364</v>
      </c>
      <c r="E75" s="69" cm="1">
        <f t="array" ref="E75">E58/E31</f>
        <v>0.304117647058824</v>
      </c>
      <c r="F75" s="69" cm="1">
        <f t="array" ref="F75">F58/F31</f>
        <v>0.29971181556196</v>
      </c>
      <c r="G75" s="69" cm="1">
        <f t="array" ref="G75">G58/G31</f>
        <v>0.593096387304373</v>
      </c>
      <c r="H75" s="69" cm="1">
        <f t="array" ref="H75">H58/H31</f>
        <v>0.223623092236231</v>
      </c>
      <c r="I75" s="69" cm="1">
        <f t="array" ref="I75">I58/I31</f>
        <v>0.182890855457227</v>
      </c>
      <c r="J75" s="69" cm="1">
        <f t="array" ref="J75">J58/J31</f>
        <v>0.199483537766301</v>
      </c>
      <c r="K75" s="43" cm="1">
        <f t="array" ref="K75">K58/K31</f>
        <v>0.17230975527992</v>
      </c>
      <c r="L75" s="43" cm="1">
        <f t="array" ref="L75">L58/L31</f>
        <v>0.184265010351967</v>
      </c>
      <c r="M75" s="43" cm="1">
        <f t="array" ref="M75">M58/M31</f>
        <v>0.291707868342986</v>
      </c>
      <c r="N75" s="11"/>
    </row>
    <row r="76" ht="15" customHeight="1">
      <c r="A76" s="11"/>
      <c r="B76" s="11"/>
      <c r="C76" s="12"/>
      <c r="D76" s="12"/>
      <c r="E76" s="12"/>
      <c r="F76" s="12"/>
      <c r="G76" s="11"/>
      <c r="H76" s="11"/>
      <c r="I76" s="11"/>
      <c r="J76" s="11"/>
      <c r="K76" s="11"/>
      <c r="L76" s="11"/>
      <c r="M76" s="11"/>
      <c r="N76" s="11"/>
    </row>
    <row r="77" ht="15" customHeight="1">
      <c r="A77" s="13"/>
      <c r="B77" s="13"/>
      <c r="C77" s="44"/>
      <c r="D77" s="44"/>
      <c r="E77" s="44"/>
      <c r="F77" s="44"/>
      <c r="G77" s="13"/>
      <c r="H77" s="13"/>
      <c r="I77" s="13"/>
      <c r="J77" s="13"/>
      <c r="K77" s="13"/>
      <c r="L77" s="13"/>
      <c r="M77" s="13"/>
      <c r="N77" s="11"/>
    </row>
    <row r="78" ht="15" customHeight="1">
      <c r="A78" t="s" s="32">
        <v>46</v>
      </c>
      <c r="B78" t="s" s="14">
        <v>9</v>
      </c>
      <c r="C78" t="s" s="14">
        <v>10</v>
      </c>
      <c r="D78" t="s" s="14">
        <v>11</v>
      </c>
      <c r="E78" t="s" s="14">
        <v>12</v>
      </c>
      <c r="F78" t="s" s="14">
        <v>13</v>
      </c>
      <c r="G78" t="s" s="14">
        <v>14</v>
      </c>
      <c r="H78" t="s" s="14">
        <v>15</v>
      </c>
      <c r="I78" t="s" s="14">
        <v>16</v>
      </c>
      <c r="J78" t="s" s="14">
        <v>17</v>
      </c>
      <c r="K78" t="s" s="14">
        <v>18</v>
      </c>
      <c r="L78" t="s" s="14">
        <v>19</v>
      </c>
      <c r="M78" t="s" s="14">
        <v>20</v>
      </c>
      <c r="N78" s="36"/>
    </row>
    <row r="79" ht="15" customHeight="1">
      <c r="A79" t="s" s="42">
        <v>47</v>
      </c>
      <c r="B79" s="89"/>
      <c r="C79" s="89"/>
      <c r="D79" s="89"/>
      <c r="E79" s="89"/>
      <c r="F79" s="89"/>
      <c r="G79" s="105">
        <v>106</v>
      </c>
      <c r="H79" s="30"/>
      <c r="I79" s="30"/>
      <c r="J79" s="30"/>
      <c r="K79" s="30"/>
      <c r="L79" s="30"/>
      <c r="M79" s="30"/>
      <c r="N79" s="11"/>
    </row>
    <row r="80" ht="15" customHeight="1">
      <c r="A80" t="s" s="54">
        <v>48</v>
      </c>
      <c r="B80" s="12"/>
      <c r="C80" s="12"/>
      <c r="D80" s="12"/>
      <c r="E80" s="12"/>
      <c r="F80" s="12"/>
      <c r="G80" s="103">
        <v>53</v>
      </c>
      <c r="H80" s="11"/>
      <c r="I80" s="11"/>
      <c r="J80" s="11"/>
      <c r="K80" s="11"/>
      <c r="L80" s="11"/>
      <c r="M80" s="55">
        <v>57</v>
      </c>
      <c r="N80" s="11"/>
    </row>
    <row r="81" ht="15" customHeight="1">
      <c r="A81" t="s" s="54">
        <v>49</v>
      </c>
      <c r="B81" s="103">
        <v>22</v>
      </c>
      <c r="C81" s="103">
        <v>22</v>
      </c>
      <c r="D81" s="103">
        <v>22</v>
      </c>
      <c r="E81" s="103">
        <v>22</v>
      </c>
      <c r="F81" s="103">
        <v>22</v>
      </c>
      <c r="G81" s="103">
        <v>22</v>
      </c>
      <c r="H81" s="55">
        <v>22</v>
      </c>
      <c r="I81" s="55">
        <v>22</v>
      </c>
      <c r="J81" s="55">
        <v>22</v>
      </c>
      <c r="K81" s="55">
        <v>21</v>
      </c>
      <c r="L81" s="55">
        <v>21</v>
      </c>
      <c r="M81" s="55">
        <v>21</v>
      </c>
      <c r="N81" s="11"/>
    </row>
    <row r="82" ht="15" customHeight="1">
      <c r="A82" t="s" s="54">
        <v>50</v>
      </c>
      <c r="B82" s="103">
        <v>28</v>
      </c>
      <c r="C82" s="103">
        <v>28</v>
      </c>
      <c r="D82" s="103">
        <v>28</v>
      </c>
      <c r="E82" s="103">
        <v>29</v>
      </c>
      <c r="F82" s="103">
        <v>26</v>
      </c>
      <c r="G82" s="103">
        <v>26</v>
      </c>
      <c r="H82" s="55">
        <v>26</v>
      </c>
      <c r="I82" s="55">
        <v>27</v>
      </c>
      <c r="J82" s="55">
        <v>30</v>
      </c>
      <c r="K82" s="55">
        <v>30</v>
      </c>
      <c r="L82" s="55">
        <v>30</v>
      </c>
      <c r="M82" s="55">
        <v>29</v>
      </c>
      <c r="N82" s="11"/>
    </row>
    <row r="83" ht="15" customHeight="1">
      <c r="A83" t="s" s="54">
        <v>33</v>
      </c>
      <c r="B83" s="12"/>
      <c r="C83" s="12"/>
      <c r="D83" s="12"/>
      <c r="E83" s="12"/>
      <c r="F83" s="12"/>
      <c r="G83" s="103" cm="1">
        <f t="array" ref="G83">91+28</f>
        <v>119</v>
      </c>
      <c r="H83" s="11"/>
      <c r="I83" s="11"/>
      <c r="J83" s="11"/>
      <c r="K83" s="11"/>
      <c r="L83" s="11"/>
      <c r="M83" s="55" cm="1">
        <f t="array" ref="M83">80+17</f>
        <v>97</v>
      </c>
      <c r="N83" s="11"/>
    </row>
    <row r="84" ht="15" customHeight="1">
      <c r="A84" t="s" s="54">
        <v>54</v>
      </c>
      <c r="B84" s="12"/>
      <c r="C84" s="12"/>
      <c r="D84" s="12"/>
      <c r="E84" s="12"/>
      <c r="F84" s="12"/>
      <c r="G84" s="103">
        <v>32</v>
      </c>
      <c r="H84" s="11"/>
      <c r="I84" s="11"/>
      <c r="J84" s="11"/>
      <c r="K84" s="11"/>
      <c r="L84" s="11"/>
      <c r="M84" s="55">
        <v>27</v>
      </c>
      <c r="N84" s="11"/>
    </row>
    <row r="85" ht="15" customHeight="1">
      <c r="A85" t="s" s="54">
        <v>89</v>
      </c>
      <c r="B85" s="12"/>
      <c r="C85" s="12"/>
      <c r="D85" s="12"/>
      <c r="E85" s="12"/>
      <c r="F85" s="12"/>
      <c r="G85" s="12"/>
      <c r="H85" s="11"/>
      <c r="I85" s="11"/>
      <c r="J85" s="11"/>
      <c r="K85" s="11"/>
      <c r="L85" s="11"/>
      <c r="M85" s="11"/>
      <c r="N85" s="11"/>
    </row>
    <row r="86" ht="15" customHeight="1">
      <c r="A86" t="s" s="54">
        <v>51</v>
      </c>
      <c r="B86" s="12"/>
      <c r="C86" s="12"/>
      <c r="D86" s="12"/>
      <c r="E86" s="12"/>
      <c r="F86" s="12"/>
      <c r="G86" s="103">
        <v>43</v>
      </c>
      <c r="H86" s="11"/>
      <c r="I86" s="11"/>
      <c r="J86" s="11"/>
      <c r="K86" s="11"/>
      <c r="L86" s="11"/>
      <c r="M86" s="55">
        <v>45</v>
      </c>
      <c r="N86" s="55" cm="1">
        <f t="array" ref="N86">AVERAGE(C86:L86)</f>
        <v>43</v>
      </c>
    </row>
    <row r="87" ht="15" customHeight="1">
      <c r="A87" t="s" s="54">
        <v>41</v>
      </c>
      <c r="B87" s="103">
        <v>7</v>
      </c>
      <c r="C87" s="103">
        <v>7</v>
      </c>
      <c r="D87" s="103">
        <v>7</v>
      </c>
      <c r="E87" s="103">
        <v>7</v>
      </c>
      <c r="F87" s="103">
        <v>6</v>
      </c>
      <c r="G87" s="103">
        <v>6</v>
      </c>
      <c r="H87" s="55">
        <v>6</v>
      </c>
      <c r="I87" s="55">
        <v>6</v>
      </c>
      <c r="J87" s="55">
        <v>6</v>
      </c>
      <c r="K87" s="55">
        <v>6</v>
      </c>
      <c r="L87" s="55">
        <v>6</v>
      </c>
      <c r="M87" s="55">
        <v>6</v>
      </c>
      <c r="N87" s="11"/>
    </row>
    <row r="88" ht="15" customHeight="1">
      <c r="A88" t="s" s="54">
        <v>40</v>
      </c>
      <c r="B88" s="12"/>
      <c r="C88" s="103">
        <v>42</v>
      </c>
      <c r="D88" s="103">
        <v>46</v>
      </c>
      <c r="E88" s="103">
        <v>40</v>
      </c>
      <c r="F88" s="103">
        <v>32</v>
      </c>
      <c r="G88" s="103">
        <v>37</v>
      </c>
      <c r="H88" s="55">
        <v>48</v>
      </c>
      <c r="I88" s="55">
        <v>50</v>
      </c>
      <c r="J88" s="55">
        <v>42</v>
      </c>
      <c r="K88" s="55">
        <v>51</v>
      </c>
      <c r="L88" s="55">
        <v>36</v>
      </c>
      <c r="M88" s="55">
        <v>43</v>
      </c>
      <c r="N88" s="55" cm="1">
        <f t="array" ref="N88">AVERAGE(C88:L88)</f>
        <v>42.4</v>
      </c>
    </row>
    <row r="89" ht="15" customHeight="1">
      <c r="A89" t="s" s="54">
        <v>52</v>
      </c>
      <c r="B89" s="103">
        <v>122</v>
      </c>
      <c r="C89" s="103">
        <v>122</v>
      </c>
      <c r="D89" s="103">
        <v>122</v>
      </c>
      <c r="E89" s="103">
        <v>122</v>
      </c>
      <c r="F89" s="103">
        <v>137</v>
      </c>
      <c r="G89" s="103">
        <v>137</v>
      </c>
      <c r="H89" s="55">
        <v>130</v>
      </c>
      <c r="I89" s="55">
        <v>130</v>
      </c>
      <c r="J89" s="55">
        <v>130</v>
      </c>
      <c r="K89" s="55">
        <v>130</v>
      </c>
      <c r="L89" s="55">
        <v>130</v>
      </c>
      <c r="M89" s="55">
        <v>130</v>
      </c>
      <c r="N89" s="11"/>
    </row>
    <row r="90" ht="15" customHeight="1">
      <c r="A90" t="s" s="54">
        <v>53</v>
      </c>
      <c r="B90" s="12"/>
      <c r="C90" s="12"/>
      <c r="D90" s="12"/>
      <c r="E90" s="12"/>
      <c r="F90" s="12"/>
      <c r="G90" s="103">
        <v>24</v>
      </c>
      <c r="H90" s="11"/>
      <c r="I90" s="11"/>
      <c r="J90" s="11"/>
      <c r="K90" s="11"/>
      <c r="L90" s="11"/>
      <c r="M90" s="55">
        <v>27</v>
      </c>
      <c r="N90" s="11"/>
    </row>
    <row r="91" ht="15" customHeight="1">
      <c r="A91" t="s" s="54">
        <v>90</v>
      </c>
      <c r="B91" s="12"/>
      <c r="C91" s="12"/>
      <c r="D91" s="12"/>
      <c r="E91" s="12"/>
      <c r="F91" s="12"/>
      <c r="G91" s="103">
        <v>21</v>
      </c>
      <c r="H91" s="11"/>
      <c r="I91" s="11"/>
      <c r="J91" s="11"/>
      <c r="K91" s="11"/>
      <c r="L91" s="11"/>
      <c r="M91" s="55">
        <v>20</v>
      </c>
      <c r="N91" s="11"/>
    </row>
    <row r="92" ht="15" customHeight="1">
      <c r="A92" t="s" s="54">
        <v>88</v>
      </c>
      <c r="B92" s="12"/>
      <c r="C92" s="12"/>
      <c r="D92" s="12"/>
      <c r="E92" s="12"/>
      <c r="F92" s="12"/>
      <c r="G92" s="103">
        <v>9</v>
      </c>
      <c r="H92" s="11"/>
      <c r="I92" s="11"/>
      <c r="J92" s="11"/>
      <c r="K92" s="11"/>
      <c r="L92" s="11"/>
      <c r="M92" s="55">
        <v>10</v>
      </c>
      <c r="N92" s="11"/>
    </row>
    <row r="93" ht="15" customHeight="1">
      <c r="A93" t="s" s="54">
        <v>111</v>
      </c>
      <c r="B93" s="12"/>
      <c r="C93" s="12"/>
      <c r="D93" s="12"/>
      <c r="E93" s="12"/>
      <c r="F93" s="12"/>
      <c r="G93" s="103">
        <v>11</v>
      </c>
      <c r="H93" s="11"/>
      <c r="I93" s="11"/>
      <c r="J93" s="11"/>
      <c r="K93" s="11"/>
      <c r="L93" s="11"/>
      <c r="M93" s="55">
        <v>13</v>
      </c>
      <c r="N93" s="11"/>
    </row>
    <row r="94" ht="15" customHeight="1">
      <c r="A94" t="s" s="54">
        <v>112</v>
      </c>
      <c r="B94" s="12"/>
      <c r="C94" s="12"/>
      <c r="D94" s="12"/>
      <c r="E94" s="12"/>
      <c r="F94" s="12"/>
      <c r="G94" s="103">
        <v>20</v>
      </c>
      <c r="H94" s="11"/>
      <c r="I94" s="11"/>
      <c r="J94" s="11"/>
      <c r="K94" s="11"/>
      <c r="L94" s="11"/>
      <c r="M94" s="55">
        <v>37</v>
      </c>
      <c r="N94" s="11"/>
    </row>
    <row r="95" ht="15" customHeight="1">
      <c r="A95" t="s" s="54">
        <v>127</v>
      </c>
      <c r="B95" s="12"/>
      <c r="C95" s="12"/>
      <c r="D95" s="12"/>
      <c r="E95" s="12"/>
      <c r="F95" s="12"/>
      <c r="G95" s="103">
        <v>19</v>
      </c>
      <c r="H95" s="11"/>
      <c r="I95" s="11"/>
      <c r="J95" s="11"/>
      <c r="K95" s="11"/>
      <c r="L95" s="11"/>
      <c r="M95" s="55">
        <v>18</v>
      </c>
      <c r="N95" s="11"/>
    </row>
    <row r="96" ht="15" customHeight="1">
      <c r="A96" t="s" s="54">
        <v>125</v>
      </c>
      <c r="B96" s="12"/>
      <c r="C96" s="12"/>
      <c r="D96" s="12"/>
      <c r="E96" s="12"/>
      <c r="F96" s="12"/>
      <c r="G96" s="103">
        <v>7</v>
      </c>
      <c r="H96" s="11"/>
      <c r="I96" s="11"/>
      <c r="J96" s="11"/>
      <c r="K96" s="11"/>
      <c r="L96" s="11"/>
      <c r="M96" s="55">
        <v>8</v>
      </c>
      <c r="N96" s="11"/>
    </row>
    <row r="97" ht="15" customHeight="1">
      <c r="A97" t="s" s="54">
        <v>113</v>
      </c>
      <c r="B97" s="103">
        <v>40</v>
      </c>
      <c r="C97" s="103">
        <v>40</v>
      </c>
      <c r="D97" s="103">
        <v>40</v>
      </c>
      <c r="E97" s="103">
        <v>40</v>
      </c>
      <c r="F97" s="103">
        <v>40</v>
      </c>
      <c r="G97" s="103">
        <v>40</v>
      </c>
      <c r="H97" s="103">
        <v>40</v>
      </c>
      <c r="I97" s="103">
        <v>40</v>
      </c>
      <c r="J97" s="103">
        <v>40</v>
      </c>
      <c r="K97" s="103">
        <v>40</v>
      </c>
      <c r="L97" s="103">
        <v>40</v>
      </c>
      <c r="M97" s="103">
        <v>40</v>
      </c>
      <c r="N97" s="11"/>
    </row>
    <row r="98" ht="15" customHeight="1">
      <c r="A98" t="s" s="54">
        <v>22</v>
      </c>
      <c r="B98" s="103" cm="1">
        <f t="array" ref="B98">SUM(B79:B97)</f>
        <v>219</v>
      </c>
      <c r="C98" s="103" cm="1">
        <f t="array" ref="C98">SUM(C79:C97)</f>
        <v>261</v>
      </c>
      <c r="D98" s="103" cm="1">
        <f t="array" ref="D98">SUM(D79:D97)</f>
        <v>265</v>
      </c>
      <c r="E98" s="103" cm="1">
        <f t="array" ref="E98">SUM(E79:E97)</f>
        <v>260</v>
      </c>
      <c r="F98" s="103" cm="1">
        <f t="array" ref="F98">SUM(F79:F97)</f>
        <v>263</v>
      </c>
      <c r="G98" s="103" cm="1">
        <f t="array" ref="G98">SUM(G79:G97)</f>
        <v>732</v>
      </c>
      <c r="H98" s="55" cm="1">
        <f t="array" ref="H98">SUM(H79:H97)</f>
        <v>272</v>
      </c>
      <c r="I98" s="55" cm="1">
        <f t="array" ref="I98">SUM(I79:I97)</f>
        <v>275</v>
      </c>
      <c r="J98" s="55" cm="1">
        <f t="array" ref="J98">SUM(J79:J97)</f>
        <v>270</v>
      </c>
      <c r="K98" s="55" cm="1">
        <f t="array" ref="K98">SUM(K79:K97)</f>
        <v>278</v>
      </c>
      <c r="L98" s="55" cm="1">
        <f t="array" ref="L98">SUM(L79:L97)</f>
        <v>263</v>
      </c>
      <c r="M98" s="55" cm="1">
        <f t="array" ref="M98">SUM(M79:M97)</f>
        <v>628</v>
      </c>
      <c r="N98" s="11"/>
    </row>
    <row r="99" ht="15" customHeight="1">
      <c r="A99" s="13"/>
      <c r="B99" s="13"/>
      <c r="C99" s="13"/>
      <c r="D99" s="13"/>
      <c r="E99" s="13"/>
      <c r="F99" s="13"/>
      <c r="G99" s="13"/>
      <c r="H99" s="13"/>
      <c r="I99" s="13"/>
      <c r="J99" s="13"/>
      <c r="K99" s="13"/>
      <c r="L99" s="13"/>
      <c r="M99" s="13"/>
      <c r="N99" s="11"/>
    </row>
    <row r="100" ht="15" customHeight="1">
      <c r="A100" t="s" s="32">
        <v>28</v>
      </c>
      <c r="B100" t="s" s="14">
        <v>9</v>
      </c>
      <c r="C100" t="s" s="14">
        <v>10</v>
      </c>
      <c r="D100" t="s" s="14">
        <v>11</v>
      </c>
      <c r="E100" t="s" s="14">
        <v>12</v>
      </c>
      <c r="F100" t="s" s="14">
        <v>13</v>
      </c>
      <c r="G100" t="s" s="14">
        <v>14</v>
      </c>
      <c r="H100" t="s" s="14">
        <v>15</v>
      </c>
      <c r="I100" t="s" s="14">
        <v>16</v>
      </c>
      <c r="J100" t="s" s="14">
        <v>17</v>
      </c>
      <c r="K100" t="s" s="14">
        <v>18</v>
      </c>
      <c r="L100" t="s" s="14">
        <v>19</v>
      </c>
      <c r="M100" t="s" s="14">
        <v>20</v>
      </c>
      <c r="N100" s="36"/>
    </row>
    <row r="101" ht="15" customHeight="1">
      <c r="A101" t="s" s="42">
        <v>56</v>
      </c>
      <c r="B101" s="23" cm="1">
        <f t="array" ref="B101">B10</f>
        <v>192625590</v>
      </c>
      <c r="C101" s="23" cm="1">
        <f t="array" ref="C101">C10</f>
        <v>192521262</v>
      </c>
      <c r="D101" s="23" cm="1">
        <f t="array" ref="D101">D10</f>
        <v>380778201</v>
      </c>
      <c r="E101" s="23" cm="1">
        <f t="array" ref="E101">E10</f>
        <v>186529462</v>
      </c>
      <c r="F101" s="23" cm="1">
        <f t="array" ref="F101">F10</f>
        <v>182484265</v>
      </c>
      <c r="G101" s="23" cm="1">
        <f t="array" ref="G101">G10</f>
        <v>259165149</v>
      </c>
      <c r="H101" s="23" cm="1">
        <f t="array" ref="H101">H10</f>
        <v>182060668</v>
      </c>
      <c r="I101" s="23" cm="1">
        <f t="array" ref="I101">I10</f>
        <v>204572892</v>
      </c>
      <c r="J101" s="23" cm="1">
        <f t="array" ref="J101">J10</f>
        <v>172258502</v>
      </c>
      <c r="K101" s="23" cm="1">
        <f t="array" ref="K101">K10</f>
        <v>231972186</v>
      </c>
      <c r="L101" s="23" cm="1">
        <f t="array" ref="L101">L10</f>
        <v>183815559</v>
      </c>
      <c r="M101" s="23" cm="1">
        <f t="array" ref="M101">M10</f>
        <v>300547867</v>
      </c>
      <c r="N101" s="11"/>
    </row>
    <row r="102" ht="15" customHeight="1">
      <c r="A102" s="11"/>
      <c r="B102" s="11"/>
      <c r="C102" s="11"/>
      <c r="D102" s="11"/>
      <c r="E102" s="11"/>
      <c r="F102" s="11"/>
      <c r="G102" s="11"/>
      <c r="H102" s="11"/>
      <c r="I102" s="11"/>
      <c r="J102" s="11"/>
      <c r="K102" s="11"/>
      <c r="L102" s="11"/>
      <c r="M102" s="11"/>
      <c r="N102" s="11"/>
    </row>
    <row r="103" ht="15" customHeight="1">
      <c r="A103" s="11"/>
      <c r="B103" s="11"/>
      <c r="C103" s="11"/>
      <c r="D103" s="11"/>
      <c r="E103" s="11"/>
      <c r="F103" s="11"/>
      <c r="G103" s="11"/>
      <c r="H103" s="11"/>
      <c r="I103" s="11"/>
      <c r="J103" s="11"/>
      <c r="K103" s="11"/>
      <c r="L103" s="11"/>
      <c r="M103" s="11"/>
      <c r="N103" s="11"/>
    </row>
    <row r="104" ht="15" customHeight="1">
      <c r="A104" s="11"/>
      <c r="B104" s="11"/>
      <c r="C104" s="11"/>
      <c r="D104" s="11"/>
      <c r="E104" s="11"/>
      <c r="F104" s="11"/>
      <c r="G104" s="11"/>
      <c r="H104" s="11"/>
      <c r="I104" s="11"/>
      <c r="J104" s="11"/>
      <c r="K104" s="11"/>
      <c r="L104" s="11"/>
      <c r="M104" s="11"/>
      <c r="N104" s="11"/>
    </row>
    <row r="105" ht="15" customHeight="1">
      <c r="A105" t="s" s="54">
        <v>161</v>
      </c>
      <c r="B105" s="11"/>
      <c r="C105" s="11"/>
      <c r="D105" s="11"/>
      <c r="E105" s="11"/>
      <c r="F105" s="11"/>
      <c r="G105" s="11"/>
      <c r="H105" s="11"/>
      <c r="I105" s="11"/>
      <c r="J105" s="11"/>
      <c r="K105" s="11"/>
      <c r="L105" s="11"/>
      <c r="M105" s="11"/>
      <c r="N105" s="11"/>
    </row>
    <row r="106" ht="15" customHeight="1">
      <c r="A106" s="11"/>
      <c r="B106" s="11"/>
      <c r="C106" s="11"/>
      <c r="D106" s="11"/>
      <c r="E106" s="11"/>
      <c r="F106" s="11"/>
      <c r="G106" s="11"/>
      <c r="H106" s="11"/>
      <c r="I106" s="11"/>
      <c r="J106" s="11"/>
      <c r="K106" s="11"/>
      <c r="L106" s="11"/>
      <c r="M106" s="11"/>
      <c r="N106" s="11"/>
    </row>
    <row r="107" ht="15" customHeight="1">
      <c r="A107" s="11"/>
      <c r="B107" s="11"/>
      <c r="C107" s="11"/>
      <c r="D107" s="11"/>
      <c r="E107" s="11"/>
      <c r="F107" s="11"/>
      <c r="G107" s="11"/>
      <c r="H107" s="11"/>
      <c r="I107" s="11"/>
      <c r="J107" s="11"/>
      <c r="K107" s="11"/>
      <c r="L107" s="11"/>
      <c r="M107" s="11"/>
      <c r="N107" s="11"/>
    </row>
    <row r="108" ht="15" customHeight="1">
      <c r="A108" s="11"/>
      <c r="B108" s="11"/>
      <c r="C108" s="11"/>
      <c r="D108" s="11"/>
      <c r="E108" s="11"/>
      <c r="F108" s="11"/>
      <c r="G108" s="11"/>
      <c r="H108" s="11"/>
      <c r="I108" s="11"/>
      <c r="J108" s="11"/>
      <c r="K108" s="11"/>
      <c r="L108" s="11"/>
      <c r="M108" s="11"/>
      <c r="N108" s="11"/>
    </row>
    <row r="109" ht="15" customHeight="1">
      <c r="A109" s="16"/>
      <c r="B109" s="16"/>
      <c r="C109" s="16"/>
      <c r="D109" s="11"/>
      <c r="E109" s="11"/>
      <c r="F109" s="11"/>
      <c r="G109" s="11"/>
      <c r="H109" s="11"/>
      <c r="I109" s="11"/>
      <c r="J109" s="11"/>
      <c r="K109" s="11"/>
      <c r="L109" s="11"/>
      <c r="M109" s="11"/>
      <c r="N109" s="11"/>
    </row>
    <row r="110" ht="15" customHeight="1">
      <c r="A110" s="12"/>
      <c r="B110" s="12"/>
      <c r="C110" s="113"/>
      <c r="D110" s="11"/>
      <c r="E110" s="11"/>
      <c r="F110" s="11"/>
      <c r="G110" s="11"/>
      <c r="H110" s="11"/>
      <c r="I110" s="11"/>
      <c r="J110" s="11"/>
      <c r="K110" s="11"/>
      <c r="L110" s="11"/>
      <c r="M110" s="11"/>
      <c r="N110" s="11"/>
    </row>
    <row r="111" ht="15" customHeight="1">
      <c r="A111" s="12"/>
      <c r="B111" s="12"/>
      <c r="C111" s="113"/>
      <c r="D111" s="11"/>
      <c r="E111" s="11"/>
      <c r="F111" s="11"/>
      <c r="G111" s="11"/>
      <c r="H111" s="11"/>
      <c r="I111" s="11"/>
      <c r="J111" s="11"/>
      <c r="K111" s="11"/>
      <c r="L111" s="11"/>
      <c r="M111" s="11"/>
      <c r="N111" s="11"/>
    </row>
    <row r="112" ht="15" customHeight="1">
      <c r="A112" s="12"/>
      <c r="B112" s="12"/>
      <c r="C112" s="113"/>
      <c r="D112" s="11"/>
      <c r="E112" s="11"/>
      <c r="F112" s="11"/>
      <c r="G112" s="11"/>
      <c r="H112" s="11"/>
      <c r="I112" s="11"/>
      <c r="J112" s="11"/>
      <c r="K112" s="11"/>
      <c r="L112" s="11"/>
      <c r="M112" s="11"/>
      <c r="N112" s="11"/>
    </row>
    <row r="113" ht="15" customHeight="1">
      <c r="A113" s="12"/>
      <c r="B113" s="12"/>
      <c r="C113" s="113"/>
      <c r="D113" s="11"/>
      <c r="E113" s="11"/>
      <c r="F113" s="11"/>
      <c r="G113" s="11"/>
      <c r="H113" s="11"/>
      <c r="I113" s="11"/>
      <c r="J113" s="11"/>
      <c r="K113" s="11"/>
      <c r="L113" s="11"/>
      <c r="M113" s="11"/>
      <c r="N113" s="11"/>
    </row>
    <row r="114" ht="15" customHeight="1">
      <c r="A114" s="12"/>
      <c r="B114" s="12"/>
      <c r="C114" s="113"/>
      <c r="D114" s="11"/>
      <c r="E114" s="11"/>
      <c r="F114" s="11"/>
      <c r="G114" s="11"/>
      <c r="H114" s="11"/>
      <c r="I114" s="11"/>
      <c r="J114" s="11"/>
      <c r="K114" s="11"/>
      <c r="L114" s="11"/>
      <c r="M114" s="11"/>
      <c r="N114" s="11"/>
    </row>
    <row r="115" ht="15" customHeight="1">
      <c r="A115" s="12"/>
      <c r="B115" s="12"/>
      <c r="C115" s="113"/>
      <c r="D115" s="11"/>
      <c r="E115" s="11"/>
      <c r="F115" s="11"/>
      <c r="G115" s="11"/>
      <c r="H115" s="11"/>
      <c r="I115" s="11"/>
      <c r="J115" s="11"/>
      <c r="K115" s="11"/>
      <c r="L115" s="11"/>
      <c r="M115" s="11"/>
      <c r="N115" s="11"/>
    </row>
    <row r="116" ht="15" customHeight="1">
      <c r="A116" s="12"/>
      <c r="B116" s="12"/>
      <c r="C116" s="12"/>
      <c r="D116" s="11"/>
      <c r="E116" s="11"/>
      <c r="F116" s="11"/>
      <c r="G116" s="11"/>
      <c r="H116" s="11"/>
      <c r="I116" s="11"/>
      <c r="J116" s="11"/>
      <c r="K116" s="11"/>
      <c r="L116" s="11"/>
      <c r="M116" s="11"/>
      <c r="N116" s="11"/>
    </row>
    <row r="117" ht="15" customHeight="1">
      <c r="A117" s="11"/>
      <c r="B117" s="11"/>
      <c r="C117" s="11"/>
      <c r="D117" s="11"/>
      <c r="E117" s="11"/>
      <c r="F117" s="11"/>
      <c r="G117" s="11"/>
      <c r="H117" s="11"/>
      <c r="I117" s="11"/>
      <c r="J117" s="11"/>
      <c r="K117" s="11"/>
      <c r="L117" s="11"/>
      <c r="M117" s="11"/>
      <c r="N117" s="11"/>
    </row>
    <row r="118" ht="15" customHeight="1">
      <c r="A118" s="16"/>
      <c r="B118" s="16"/>
      <c r="C118" s="16"/>
      <c r="D118" s="11"/>
      <c r="E118" s="11"/>
      <c r="F118" s="11"/>
      <c r="G118" s="11"/>
      <c r="H118" s="11"/>
      <c r="I118" s="11"/>
      <c r="J118" s="11"/>
      <c r="K118" s="11"/>
      <c r="L118" s="11"/>
      <c r="M118" s="11"/>
      <c r="N118" s="11"/>
    </row>
    <row r="119" ht="15" customHeight="1">
      <c r="A119" s="12"/>
      <c r="B119" s="12"/>
      <c r="C119" s="113"/>
      <c r="D119" s="11"/>
      <c r="E119" s="11"/>
      <c r="F119" s="11"/>
      <c r="G119" s="11"/>
      <c r="H119" s="11"/>
      <c r="I119" s="11"/>
      <c r="J119" s="11"/>
      <c r="K119" s="11"/>
      <c r="L119" s="11"/>
      <c r="M119" s="11"/>
      <c r="N119" s="11"/>
    </row>
    <row r="120" ht="15" customHeight="1">
      <c r="A120" s="12"/>
      <c r="B120" s="12"/>
      <c r="C120" s="113"/>
      <c r="D120" s="11"/>
      <c r="E120" s="11"/>
      <c r="F120" s="11"/>
      <c r="G120" s="11"/>
      <c r="H120" s="11"/>
      <c r="I120" s="11"/>
      <c r="J120" s="11"/>
      <c r="K120" s="11"/>
      <c r="L120" s="11"/>
      <c r="M120" s="11"/>
      <c r="N120" s="11"/>
    </row>
    <row r="121" ht="15" customHeight="1">
      <c r="A121" s="11"/>
      <c r="B121" s="12"/>
      <c r="C121" s="11"/>
      <c r="D121" s="11"/>
      <c r="E121" s="11"/>
      <c r="F121" s="11"/>
      <c r="G121" s="11"/>
      <c r="H121" s="11"/>
      <c r="I121" s="11"/>
      <c r="J121" s="11"/>
      <c r="K121" s="11"/>
      <c r="L121" s="11"/>
      <c r="M121" s="11"/>
      <c r="N121" s="11"/>
    </row>
    <row r="122" ht="15" customHeight="1">
      <c r="A122" s="11"/>
      <c r="B122" s="11"/>
      <c r="C122" s="11"/>
      <c r="D122" s="11"/>
      <c r="E122" s="11"/>
      <c r="F122" s="11"/>
      <c r="G122" s="11"/>
      <c r="H122" s="11"/>
      <c r="I122" s="11"/>
      <c r="J122" s="11"/>
      <c r="K122" s="11"/>
      <c r="L122" s="11"/>
      <c r="M122" s="11"/>
      <c r="N122" s="11"/>
    </row>
    <row r="123" ht="15" customHeight="1">
      <c r="A123" s="16"/>
      <c r="B123" s="16"/>
      <c r="C123" s="16"/>
      <c r="D123" s="11"/>
      <c r="E123" s="11"/>
      <c r="F123" s="11"/>
      <c r="G123" s="11"/>
      <c r="H123" s="11"/>
      <c r="I123" s="11"/>
      <c r="J123" s="11"/>
      <c r="K123" s="11"/>
      <c r="L123" s="11"/>
      <c r="M123" s="11"/>
      <c r="N123" s="11"/>
    </row>
    <row r="124" ht="15" customHeight="1">
      <c r="A124" s="12"/>
      <c r="B124" s="12"/>
      <c r="C124" s="113"/>
      <c r="D124" s="11"/>
      <c r="E124" s="11"/>
      <c r="F124" s="11"/>
      <c r="G124" s="11"/>
      <c r="H124" s="11"/>
      <c r="I124" s="11"/>
      <c r="J124" s="11"/>
      <c r="K124" s="11"/>
      <c r="L124" s="11"/>
      <c r="M124" s="11"/>
      <c r="N124" s="11"/>
    </row>
    <row r="125" ht="15" customHeight="1">
      <c r="A125" s="12"/>
      <c r="B125" s="12"/>
      <c r="C125" s="113"/>
      <c r="D125" s="11"/>
      <c r="E125" s="11"/>
      <c r="F125" s="11"/>
      <c r="G125" s="11"/>
      <c r="H125" s="11"/>
      <c r="I125" s="11"/>
      <c r="J125" s="11"/>
      <c r="K125" s="11"/>
      <c r="L125" s="11"/>
      <c r="M125" s="11"/>
      <c r="N125" s="11"/>
    </row>
    <row r="126" ht="15" customHeight="1">
      <c r="A126" s="12"/>
      <c r="B126" s="12"/>
      <c r="C126" s="11"/>
      <c r="D126" s="11"/>
      <c r="E126" s="11"/>
      <c r="F126" s="11"/>
      <c r="G126" s="11"/>
      <c r="H126" s="11"/>
      <c r="I126" s="11"/>
      <c r="J126" s="11"/>
      <c r="K126" s="11"/>
      <c r="L126" s="11"/>
      <c r="M126" s="11"/>
      <c r="N126" s="11"/>
    </row>
    <row r="127" ht="15" customHeight="1">
      <c r="A127" s="11"/>
      <c r="B127" s="11"/>
      <c r="C127" s="11"/>
      <c r="D127" s="11"/>
      <c r="E127" s="11"/>
      <c r="F127" s="11"/>
      <c r="G127" s="11"/>
      <c r="H127" s="11"/>
      <c r="I127" s="11"/>
      <c r="J127" s="11"/>
      <c r="K127" s="11"/>
      <c r="L127" s="11"/>
      <c r="M127" s="11"/>
      <c r="N127" s="11"/>
    </row>
    <row r="128" ht="15" customHeight="1">
      <c r="A128" s="16"/>
      <c r="B128" s="16"/>
      <c r="C128" s="16"/>
      <c r="D128" s="11"/>
      <c r="E128" s="11"/>
      <c r="F128" s="11"/>
      <c r="G128" s="11"/>
      <c r="H128" s="11"/>
      <c r="I128" s="11"/>
      <c r="J128" s="11"/>
      <c r="K128" s="11"/>
      <c r="L128" s="11"/>
      <c r="M128" s="11"/>
      <c r="N128" s="11"/>
    </row>
    <row r="129" ht="15" customHeight="1">
      <c r="A129" s="12"/>
      <c r="B129" s="12"/>
      <c r="C129" s="113"/>
      <c r="D129" s="11"/>
      <c r="E129" s="11"/>
      <c r="F129" s="11"/>
      <c r="G129" s="11"/>
      <c r="H129" s="11"/>
      <c r="I129" s="11"/>
      <c r="J129" s="11"/>
      <c r="K129" s="11"/>
      <c r="L129" s="11"/>
      <c r="M129" s="11"/>
      <c r="N129" s="11"/>
    </row>
    <row r="130" ht="15" customHeight="1">
      <c r="A130" s="12"/>
      <c r="B130" s="12"/>
      <c r="C130" s="113"/>
      <c r="D130" s="11"/>
      <c r="E130" s="11"/>
      <c r="F130" s="11"/>
      <c r="G130" s="11"/>
      <c r="H130" s="11"/>
      <c r="I130" s="11"/>
      <c r="J130" s="11"/>
      <c r="K130" s="11"/>
      <c r="L130" s="11"/>
      <c r="M130" s="11"/>
      <c r="N130" s="11"/>
    </row>
    <row r="131" ht="15" customHeight="1">
      <c r="A131" s="12"/>
      <c r="B131" s="12"/>
      <c r="C131" s="113"/>
      <c r="D131" s="11"/>
      <c r="E131" s="11"/>
      <c r="F131" s="11"/>
      <c r="G131" s="11"/>
      <c r="H131" s="11"/>
      <c r="I131" s="11"/>
      <c r="J131" s="11"/>
      <c r="K131" s="11"/>
      <c r="L131" s="11"/>
      <c r="M131" s="11"/>
      <c r="N131" s="11"/>
    </row>
    <row r="132" ht="15" customHeight="1">
      <c r="A132" s="12"/>
      <c r="B132" s="12"/>
      <c r="C132" s="113"/>
      <c r="D132" s="11"/>
      <c r="E132" s="11"/>
      <c r="F132" s="11"/>
      <c r="G132" s="11"/>
      <c r="H132" s="11"/>
      <c r="I132" s="11"/>
      <c r="J132" s="11"/>
      <c r="K132" s="11"/>
      <c r="L132" s="11"/>
      <c r="M132" s="11"/>
      <c r="N132" s="11"/>
    </row>
    <row r="133" ht="15" customHeight="1">
      <c r="A133" s="12"/>
      <c r="B133" s="12"/>
      <c r="C133" s="113"/>
      <c r="D133" s="11"/>
      <c r="E133" s="11"/>
      <c r="F133" s="11"/>
      <c r="G133" s="11"/>
      <c r="H133" s="11"/>
      <c r="I133" s="11"/>
      <c r="J133" s="11"/>
      <c r="K133" s="11"/>
      <c r="L133" s="11"/>
      <c r="M133" s="11"/>
      <c r="N133" s="11"/>
    </row>
    <row r="134" ht="15" customHeight="1">
      <c r="A134" s="12"/>
      <c r="B134" s="12"/>
      <c r="C134" s="113"/>
      <c r="D134" s="11"/>
      <c r="E134" s="11"/>
      <c r="F134" s="11"/>
      <c r="G134" s="11"/>
      <c r="H134" s="11"/>
      <c r="I134" s="11"/>
      <c r="J134" s="11"/>
      <c r="K134" s="11"/>
      <c r="L134" s="11"/>
      <c r="M134" s="11"/>
      <c r="N134" s="11"/>
    </row>
    <row r="135" ht="15" customHeight="1">
      <c r="A135" s="12"/>
      <c r="B135" s="12"/>
      <c r="C135" s="12"/>
      <c r="D135" s="11"/>
      <c r="E135" s="11"/>
      <c r="F135" s="11"/>
      <c r="G135" s="11"/>
      <c r="H135" s="11"/>
      <c r="I135" s="11"/>
      <c r="J135" s="11"/>
      <c r="K135" s="11"/>
      <c r="L135" s="11"/>
      <c r="M135" s="11"/>
      <c r="N135" s="11"/>
    </row>
    <row r="136" ht="15" customHeight="1">
      <c r="A136" s="12"/>
      <c r="B136" s="11"/>
      <c r="C136" s="11"/>
      <c r="D136" s="11"/>
      <c r="E136" s="11"/>
      <c r="F136" s="11"/>
      <c r="G136" s="11"/>
      <c r="H136" s="11"/>
      <c r="I136" s="11"/>
      <c r="J136" s="11"/>
      <c r="K136" s="11"/>
      <c r="L136" s="11"/>
      <c r="M136" s="11"/>
      <c r="N136" s="11"/>
    </row>
    <row r="137" ht="15" customHeight="1">
      <c r="A137" s="11"/>
      <c r="B137" s="11"/>
      <c r="C137" s="11"/>
      <c r="D137" s="11"/>
      <c r="E137" s="11"/>
      <c r="F137" s="11"/>
      <c r="G137" s="11"/>
      <c r="H137" s="11"/>
      <c r="I137" s="11"/>
      <c r="J137" s="11"/>
      <c r="K137" s="11"/>
      <c r="L137" s="11"/>
      <c r="M137" s="11"/>
      <c r="N137" s="11"/>
    </row>
    <row r="138" ht="15" customHeight="1">
      <c r="A138" s="16"/>
      <c r="B138" s="16"/>
      <c r="C138" s="16"/>
      <c r="D138" s="11"/>
      <c r="E138" s="11"/>
      <c r="F138" s="11"/>
      <c r="G138" s="11"/>
      <c r="H138" s="11"/>
      <c r="I138" s="11"/>
      <c r="J138" s="11"/>
      <c r="K138" s="11"/>
      <c r="L138" s="11"/>
      <c r="M138" s="11"/>
      <c r="N138" s="11"/>
    </row>
    <row r="139" ht="15" customHeight="1">
      <c r="A139" s="12"/>
      <c r="B139" s="12"/>
      <c r="C139" s="113"/>
      <c r="D139" s="11"/>
      <c r="E139" s="11"/>
      <c r="F139" s="11"/>
      <c r="G139" s="11"/>
      <c r="H139" s="11"/>
      <c r="I139" s="11"/>
      <c r="J139" s="11"/>
      <c r="K139" s="11"/>
      <c r="L139" s="11"/>
      <c r="M139" s="11"/>
      <c r="N139" s="11"/>
    </row>
    <row r="140" ht="15" customHeight="1">
      <c r="A140" s="12"/>
      <c r="B140" s="12"/>
      <c r="C140" s="113"/>
      <c r="D140" s="11"/>
      <c r="E140" s="11"/>
      <c r="F140" s="11"/>
      <c r="G140" s="11"/>
      <c r="H140" s="11"/>
      <c r="I140" s="11"/>
      <c r="J140" s="11"/>
      <c r="K140" s="11"/>
      <c r="L140" s="11"/>
      <c r="M140" s="11"/>
      <c r="N140" s="11"/>
    </row>
    <row r="141" ht="15" customHeight="1">
      <c r="A141" s="12"/>
      <c r="B141" s="12"/>
      <c r="C141" s="113"/>
      <c r="D141" s="11"/>
      <c r="E141" s="11"/>
      <c r="F141" s="11"/>
      <c r="G141" s="11"/>
      <c r="H141" s="11"/>
      <c r="I141" s="11"/>
      <c r="J141" s="11"/>
      <c r="K141" s="11"/>
      <c r="L141" s="11"/>
      <c r="M141" s="11"/>
      <c r="N141" s="11"/>
    </row>
    <row r="142" ht="15" customHeight="1">
      <c r="A142" s="12"/>
      <c r="B142" s="12"/>
      <c r="C142" s="113"/>
      <c r="D142" s="11"/>
      <c r="E142" s="11"/>
      <c r="F142" s="11"/>
      <c r="G142" s="11"/>
      <c r="H142" s="11"/>
      <c r="I142" s="11"/>
      <c r="J142" s="11"/>
      <c r="K142" s="11"/>
      <c r="L142" s="11"/>
      <c r="M142" s="11"/>
      <c r="N142" s="11"/>
    </row>
    <row r="143" ht="15" customHeight="1">
      <c r="A143" s="12"/>
      <c r="B143" s="12"/>
      <c r="C143" s="113"/>
      <c r="D143" s="11"/>
      <c r="E143" s="11"/>
      <c r="F143" s="11"/>
      <c r="G143" s="11"/>
      <c r="H143" s="11"/>
      <c r="I143" s="11"/>
      <c r="J143" s="11"/>
      <c r="K143" s="11"/>
      <c r="L143" s="11"/>
      <c r="M143" s="11"/>
      <c r="N143" s="11"/>
    </row>
    <row r="144" ht="15" customHeight="1">
      <c r="A144" s="12"/>
      <c r="B144" s="12"/>
      <c r="C144" s="113"/>
      <c r="D144" s="11"/>
      <c r="E144" s="11"/>
      <c r="F144" s="11"/>
      <c r="G144" s="11"/>
      <c r="H144" s="11"/>
      <c r="I144" s="11"/>
      <c r="J144" s="11"/>
      <c r="K144" s="11"/>
      <c r="L144" s="11"/>
      <c r="M144" s="11"/>
      <c r="N144" s="11"/>
    </row>
    <row r="145" ht="15" customHeight="1">
      <c r="A145" s="12"/>
      <c r="B145" s="12"/>
      <c r="C145" s="113"/>
      <c r="D145" s="11"/>
      <c r="E145" s="11"/>
      <c r="F145" s="11"/>
      <c r="G145" s="11"/>
      <c r="H145" s="11"/>
      <c r="I145" s="11"/>
      <c r="J145" s="11"/>
      <c r="K145" s="11"/>
      <c r="L145" s="11"/>
      <c r="M145" s="11"/>
      <c r="N145" s="11"/>
    </row>
    <row r="146" ht="15" customHeight="1">
      <c r="A146" s="12"/>
      <c r="B146" s="12"/>
      <c r="C146" s="113"/>
      <c r="D146" s="11"/>
      <c r="E146" s="11"/>
      <c r="F146" s="11"/>
      <c r="G146" s="11"/>
      <c r="H146" s="11"/>
      <c r="I146" s="11"/>
      <c r="J146" s="11"/>
      <c r="K146" s="11"/>
      <c r="L146" s="11"/>
      <c r="M146" s="11"/>
      <c r="N146" s="11"/>
    </row>
    <row r="147" ht="15" customHeight="1">
      <c r="A147" s="12"/>
      <c r="B147" s="12"/>
      <c r="C147" s="12"/>
      <c r="D147" s="11"/>
      <c r="E147" s="11"/>
      <c r="F147" s="11"/>
      <c r="G147" s="11"/>
      <c r="H147" s="11"/>
      <c r="I147" s="11"/>
      <c r="J147" s="11"/>
      <c r="K147" s="11"/>
      <c r="L147" s="11"/>
      <c r="M147" s="11"/>
      <c r="N147" s="11"/>
    </row>
    <row r="148" ht="15" customHeight="1">
      <c r="A148" s="11"/>
      <c r="B148" s="11"/>
      <c r="C148" s="11"/>
      <c r="D148" s="11"/>
      <c r="E148" s="11"/>
      <c r="F148" s="11"/>
      <c r="G148" s="11"/>
      <c r="H148" s="11"/>
      <c r="I148" s="11"/>
      <c r="J148" s="11"/>
      <c r="K148" s="11"/>
      <c r="L148" s="11"/>
      <c r="M148" s="11"/>
      <c r="N148" s="11"/>
    </row>
    <row r="149" ht="15" customHeight="1">
      <c r="A149" s="11"/>
      <c r="B149" s="11"/>
      <c r="C149" s="11"/>
      <c r="D149" s="11"/>
      <c r="E149" s="11"/>
      <c r="F149" s="11"/>
      <c r="G149" s="11"/>
      <c r="H149" s="11"/>
      <c r="I149" s="11"/>
      <c r="J149" s="11"/>
      <c r="K149" s="11"/>
      <c r="L149" s="11"/>
      <c r="M149" s="11"/>
      <c r="N149" s="11"/>
    </row>
    <row r="150" ht="15" customHeight="1">
      <c r="A150" s="11"/>
      <c r="B150" s="11"/>
      <c r="C150" s="11"/>
      <c r="D150" s="11"/>
      <c r="E150" s="11"/>
      <c r="F150" s="11"/>
      <c r="G150" s="11"/>
      <c r="H150" s="11"/>
      <c r="I150" s="11"/>
      <c r="J150" s="11"/>
      <c r="K150" s="11"/>
      <c r="L150" s="11"/>
      <c r="M150" s="11"/>
      <c r="N150" s="11"/>
    </row>
    <row r="151" ht="15" customHeight="1">
      <c r="A151" s="11"/>
      <c r="B151" s="11"/>
      <c r="C151" s="11"/>
      <c r="D151" s="11"/>
      <c r="E151" s="11"/>
      <c r="F151" s="11"/>
      <c r="G151" s="11"/>
      <c r="H151" s="11"/>
      <c r="I151" s="11"/>
      <c r="J151" s="11"/>
      <c r="K151" s="11"/>
      <c r="L151" s="11"/>
      <c r="M151" s="11"/>
      <c r="N151" s="11"/>
    </row>
    <row r="152" ht="15" customHeight="1">
      <c r="A152" s="11"/>
      <c r="B152" s="11"/>
      <c r="C152" s="11"/>
      <c r="D152" s="11"/>
      <c r="E152" s="11"/>
      <c r="F152" s="11"/>
      <c r="G152" s="11"/>
      <c r="H152" s="11"/>
      <c r="I152" s="11"/>
      <c r="J152" s="11"/>
      <c r="K152" s="11"/>
      <c r="L152" s="11"/>
      <c r="M152" s="11"/>
      <c r="N152" s="11"/>
    </row>
    <row r="153" ht="15" customHeight="1">
      <c r="A153" s="11"/>
      <c r="B153" s="11"/>
      <c r="C153" s="11"/>
      <c r="D153" s="11"/>
      <c r="E153" s="11"/>
      <c r="F153" s="11"/>
      <c r="G153" s="11"/>
      <c r="H153" s="11"/>
      <c r="I153" s="11"/>
      <c r="J153" s="11"/>
      <c r="K153" s="11"/>
      <c r="L153" s="11"/>
      <c r="M153" s="11"/>
      <c r="N153" s="11"/>
    </row>
    <row r="154" ht="15" customHeight="1">
      <c r="A154" s="11"/>
      <c r="B154" s="11"/>
      <c r="C154" s="11"/>
      <c r="D154" s="11"/>
      <c r="E154" s="11"/>
      <c r="F154" s="11"/>
      <c r="G154" s="11"/>
      <c r="H154" s="11"/>
      <c r="I154" s="11"/>
      <c r="J154" s="11"/>
      <c r="K154" s="11"/>
      <c r="L154" s="11"/>
      <c r="M154" s="11"/>
      <c r="N154" s="11"/>
    </row>
    <row r="155" ht="15" customHeight="1">
      <c r="A155" s="11"/>
      <c r="B155" s="11"/>
      <c r="C155" s="11"/>
      <c r="D155" s="11"/>
      <c r="E155" s="11"/>
      <c r="F155" s="11"/>
      <c r="G155" s="11"/>
      <c r="H155" s="11"/>
      <c r="I155" s="11"/>
      <c r="J155" s="11"/>
      <c r="K155" s="11"/>
      <c r="L155" s="11"/>
      <c r="M155" s="11"/>
      <c r="N155" s="11"/>
    </row>
    <row r="156" ht="15" customHeight="1">
      <c r="A156" s="11"/>
      <c r="B156" s="11"/>
      <c r="C156" s="11"/>
      <c r="D156" s="11"/>
      <c r="E156" s="11"/>
      <c r="F156" s="11"/>
      <c r="G156" s="11"/>
      <c r="H156" s="11"/>
      <c r="I156" s="11"/>
      <c r="J156" s="11"/>
      <c r="K156" s="11"/>
      <c r="L156" s="11"/>
      <c r="M156" s="11"/>
      <c r="N156" s="11"/>
    </row>
  </sheetData>
  <mergeCells count="4">
    <mergeCell ref="A1:M1"/>
    <mergeCell ref="A2:M2"/>
    <mergeCell ref="A26:M26"/>
    <mergeCell ref="A27:M27"/>
  </mergeCells>
  <pageMargins left="0.75" right="0.75" top="1" bottom="1" header="0.5" footer="0.5"/>
  <pageSetup firstPageNumber="1" fitToHeight="1" fitToWidth="1" scale="100" useFirstPageNumber="0" orientation="portrait" pageOrder="downThenOver"/>
  <headerFooter>
    <oddFooter>&amp;C&amp;"Helvetica,Regular"&amp;12&amp;K000000&amp;P</oddFooter>
  </headerFooter>
</worksheet>
</file>

<file path=xl/worksheets/sheet7.xml><?xml version="1.0" encoding="utf-8"?>
<worksheet xmlns:r="http://schemas.openxmlformats.org/officeDocument/2006/relationships" xmlns="http://schemas.openxmlformats.org/spreadsheetml/2006/main">
  <dimension ref="A1:N167"/>
  <sheetViews>
    <sheetView workbookViewId="0" showGridLines="0" defaultGridColor="1"/>
  </sheetViews>
  <sheetFormatPr defaultColWidth="12.5" defaultRowHeight="15" customHeight="1" outlineLevelRow="0" outlineLevelCol="0"/>
  <cols>
    <col min="1" max="1" width="27.1719" style="128" customWidth="1"/>
    <col min="2" max="2" width="15.1719" style="128" customWidth="1"/>
    <col min="3" max="3" width="14.6719" style="128" customWidth="1"/>
    <col min="4" max="4" width="17.3516" style="128" customWidth="1"/>
    <col min="5" max="5" width="15" style="128" customWidth="1"/>
    <col min="6" max="7" width="14.6719" style="128" customWidth="1"/>
    <col min="8" max="12" width="16.5" style="128" customWidth="1"/>
    <col min="13" max="13" width="19" style="128" customWidth="1"/>
    <col min="14" max="14" width="15.9375" style="128" customWidth="1"/>
    <col min="15" max="16384" width="12.5" style="128" customWidth="1"/>
  </cols>
  <sheetData>
    <row r="1" ht="23" customHeight="1">
      <c r="A1" t="s" s="7">
        <v>6</v>
      </c>
      <c r="B1" s="8"/>
      <c r="C1" s="8"/>
      <c r="D1" s="9"/>
      <c r="E1" s="9"/>
      <c r="F1" s="9"/>
      <c r="G1" s="9"/>
      <c r="H1" s="9"/>
      <c r="I1" s="9"/>
      <c r="J1" s="9"/>
      <c r="K1" s="9"/>
      <c r="L1" s="9"/>
      <c r="M1" s="9"/>
      <c r="N1" s="10"/>
    </row>
    <row r="2" ht="23" customHeight="1">
      <c r="A2" t="s" s="7">
        <v>163</v>
      </c>
      <c r="B2" s="8"/>
      <c r="C2" s="8"/>
      <c r="D2" s="12"/>
      <c r="E2" s="12"/>
      <c r="F2" s="12"/>
      <c r="G2" s="12"/>
      <c r="H2" s="12"/>
      <c r="I2" s="12"/>
      <c r="J2" s="12"/>
      <c r="K2" s="12"/>
      <c r="L2" s="12"/>
      <c r="M2" s="12"/>
      <c r="N2" s="10"/>
    </row>
    <row r="3" ht="15" customHeight="1">
      <c r="A3" s="13"/>
      <c r="B3" s="13"/>
      <c r="C3" s="13"/>
      <c r="D3" s="13"/>
      <c r="E3" s="13"/>
      <c r="F3" s="13"/>
      <c r="G3" s="13"/>
      <c r="H3" s="13"/>
      <c r="I3" s="13"/>
      <c r="J3" s="13"/>
      <c r="K3" s="13"/>
      <c r="L3" s="13"/>
      <c r="M3" s="13"/>
      <c r="N3" s="72"/>
    </row>
    <row r="4" ht="15" customHeight="1">
      <c r="A4" t="s" s="14">
        <v>8</v>
      </c>
      <c r="B4" t="s" s="14">
        <v>9</v>
      </c>
      <c r="C4" t="s" s="14">
        <v>10</v>
      </c>
      <c r="D4" t="s" s="14">
        <v>11</v>
      </c>
      <c r="E4" t="s" s="14">
        <v>12</v>
      </c>
      <c r="F4" t="s" s="14">
        <v>13</v>
      </c>
      <c r="G4" t="s" s="14">
        <v>14</v>
      </c>
      <c r="H4" t="s" s="14">
        <v>15</v>
      </c>
      <c r="I4" t="s" s="14">
        <v>16</v>
      </c>
      <c r="J4" t="s" s="14">
        <v>17</v>
      </c>
      <c r="K4" t="s" s="14">
        <v>18</v>
      </c>
      <c r="L4" t="s" s="14">
        <v>19</v>
      </c>
      <c r="M4" t="s" s="14">
        <v>20</v>
      </c>
      <c r="N4" t="s" s="73">
        <v>164</v>
      </c>
    </row>
    <row r="5" ht="15" customHeight="1">
      <c r="A5" s="17">
        <v>1</v>
      </c>
      <c r="B5" s="18">
        <v>46892410</v>
      </c>
      <c r="C5" s="18">
        <v>68195270</v>
      </c>
      <c r="D5" s="92">
        <v>54167682</v>
      </c>
      <c r="E5" s="18">
        <v>47985050</v>
      </c>
      <c r="F5" s="129" cm="1">
        <f t="array" ref="F5">34129700+19176799+25000</f>
        <v>53331499</v>
      </c>
      <c r="G5" s="129" cm="1">
        <f t="array" ref="G5">43097290+18603476+190000</f>
        <v>61890766</v>
      </c>
      <c r="H5" s="130" cm="1">
        <f t="array" ref="H5">50079000+19155985+595000</f>
        <v>69829985</v>
      </c>
      <c r="I5" s="129" cm="1">
        <f t="array" ref="I5">52793550+21273387</f>
        <v>74066937</v>
      </c>
      <c r="J5" s="129" cm="1">
        <f t="array" ref="J5">57947498+29253355</f>
        <v>87200853</v>
      </c>
      <c r="K5" s="129" cm="1">
        <f t="array" ref="K5">45904909+21795568+180000</f>
        <v>67880477</v>
      </c>
      <c r="L5" s="129" cm="1">
        <f t="array" ref="L5">44599289+14349876+110000</f>
        <v>59059165</v>
      </c>
      <c r="M5" s="129" cm="1">
        <f t="array" ref="M5">59479780+28311733+700000</f>
        <v>88491513</v>
      </c>
      <c r="N5" s="75"/>
    </row>
    <row r="6" ht="15" customHeight="1">
      <c r="A6" s="17">
        <v>2</v>
      </c>
      <c r="B6" s="18">
        <v>49690768</v>
      </c>
      <c r="C6" s="18">
        <v>43963950</v>
      </c>
      <c r="D6" s="92">
        <v>61386546</v>
      </c>
      <c r="E6" s="18">
        <v>24223717</v>
      </c>
      <c r="F6" s="129" cm="1">
        <f t="array" ref="F6">160809157+11652228+100000</f>
        <v>172561385</v>
      </c>
      <c r="G6" s="129" cm="1">
        <f t="array" ref="G6">36950894+13139164+730000</f>
        <v>50820058</v>
      </c>
      <c r="H6" s="130" cm="1">
        <f t="array" ref="H6">41949650+15360846+150000</f>
        <v>57460496</v>
      </c>
      <c r="I6" s="129" cm="1">
        <f t="array" ref="I6">58410517+10007039+160000</f>
        <v>68577556</v>
      </c>
      <c r="J6" s="129" cm="1">
        <f t="array" ref="J6">31078100+4125600</f>
        <v>35203700</v>
      </c>
      <c r="K6" s="129" cm="1">
        <f t="array" ref="K6">45863406+9736046+1159000</f>
        <v>56758452</v>
      </c>
      <c r="L6" s="129" cm="1">
        <f t="array" ref="L6">54676377+21175658</f>
        <v>75852035</v>
      </c>
      <c r="M6" s="129" cm="1">
        <f t="array" ref="M6">40805426+9684191</f>
        <v>50489617</v>
      </c>
      <c r="N6" s="19"/>
    </row>
    <row r="7" ht="15" customHeight="1">
      <c r="A7" s="17">
        <v>3</v>
      </c>
      <c r="B7" s="18">
        <v>49531955</v>
      </c>
      <c r="C7" s="18">
        <v>45493250</v>
      </c>
      <c r="D7" s="18">
        <v>25476000</v>
      </c>
      <c r="E7" s="18">
        <v>26495475</v>
      </c>
      <c r="F7" s="129" cm="1">
        <f t="array" ref="F7">27998660+12538788</f>
        <v>40537448</v>
      </c>
      <c r="G7" s="129" cm="1">
        <f t="array" ref="G7">26346442+16293546+160000</f>
        <v>42799988</v>
      </c>
      <c r="H7" s="130" cm="1">
        <f t="array" ref="H7">34231220+9829371+210000</f>
        <v>44270591</v>
      </c>
      <c r="I7" s="129" cm="1">
        <f t="array" ref="I7">37526409+8669860+360000</f>
        <v>46556269</v>
      </c>
      <c r="J7" s="129" cm="1">
        <f t="array" ref="J7">25179055+10346843+90000</f>
        <v>35615898</v>
      </c>
      <c r="K7" s="129" cm="1">
        <f t="array" ref="K7">23410805+17578271</f>
        <v>40989076</v>
      </c>
      <c r="L7" s="129" cm="1">
        <f t="array" ref="L7">39375417+14258555</f>
        <v>53633972</v>
      </c>
      <c r="M7" s="129" cm="1">
        <f t="array" ref="M7">31046743+18748086+25000</f>
        <v>49819829</v>
      </c>
      <c r="N7" s="19"/>
    </row>
    <row r="8" ht="15" customHeight="1">
      <c r="A8" s="17">
        <v>4</v>
      </c>
      <c r="B8" s="18">
        <v>41925150</v>
      </c>
      <c r="C8" s="18">
        <v>30558545</v>
      </c>
      <c r="D8" s="18">
        <v>14781000</v>
      </c>
      <c r="E8" s="18">
        <v>24920698</v>
      </c>
      <c r="F8" s="129" cm="1">
        <f t="array" ref="F8">26621745+9957000+440000</f>
        <v>37018745</v>
      </c>
      <c r="G8" s="129" cm="1">
        <f t="array" ref="G8">28952700+2644000+200000</f>
        <v>31796700</v>
      </c>
      <c r="H8" s="130" cm="1">
        <f t="array" ref="H8">28517780+8699950+110000</f>
        <v>37327730</v>
      </c>
      <c r="I8" s="129" cm="1">
        <f t="array" ref="I8">41666204+7930244+248000</f>
        <v>49844448</v>
      </c>
      <c r="J8" s="129" cm="1">
        <f t="array" ref="J8">25660339+10500250</f>
        <v>36160589</v>
      </c>
      <c r="K8" s="129" cm="1">
        <f t="array" ref="K8">41522810+6486912</f>
        <v>48009722</v>
      </c>
      <c r="L8" s="129" cm="1">
        <f t="array" ref="L8">35068218+7056000</f>
        <v>42124218</v>
      </c>
      <c r="M8" s="129" cm="1">
        <f t="array" ref="M8">47796265+19661698</f>
        <v>67457963</v>
      </c>
      <c r="N8" s="19"/>
    </row>
    <row r="9" ht="15" customHeight="1">
      <c r="A9" s="17">
        <v>5</v>
      </c>
      <c r="B9" s="18"/>
      <c r="C9" s="18"/>
      <c r="D9" s="18">
        <v>24748453</v>
      </c>
      <c r="E9" s="18"/>
      <c r="F9" s="129" cm="1">
        <f t="array" ref="F9">30753580+12427483+50000</f>
        <v>43231063</v>
      </c>
      <c r="G9" s="18"/>
      <c r="H9" s="74"/>
      <c r="I9" s="129" cm="1">
        <f t="array" ref="I9">39613361+12230815+540000</f>
        <v>52384176</v>
      </c>
      <c r="J9" s="18"/>
      <c r="K9" s="18"/>
      <c r="L9" s="129" cm="1">
        <f t="array" ref="L9">34947775+13266465</f>
        <v>48214240</v>
      </c>
      <c r="M9" s="129" cm="1">
        <f t="array" ref="M9">34975077+11503280+57000</f>
        <v>46535357</v>
      </c>
      <c r="N9" s="19"/>
    </row>
    <row r="10" ht="15" customHeight="1">
      <c r="A10" t="s" s="20">
        <v>22</v>
      </c>
      <c r="B10" s="18" cm="1">
        <f t="array" ref="B10">SUM(B5:B9)</f>
        <v>188040283</v>
      </c>
      <c r="C10" s="18" cm="1">
        <f t="array" ref="C10">SUM(C5:C9)</f>
        <v>188211015</v>
      </c>
      <c r="D10" s="18" cm="1">
        <f t="array" ref="D10">SUM(D5:D9)</f>
        <v>180559681</v>
      </c>
      <c r="E10" s="18" cm="1">
        <f t="array" ref="E10">SUM(E5:E9)</f>
        <v>123624940</v>
      </c>
      <c r="F10" s="18" cm="1">
        <f t="array" ref="F10">SUM(F5:F9)</f>
        <v>346680140</v>
      </c>
      <c r="G10" s="18" cm="1">
        <f t="array" ref="G10">SUM(G5:G9)</f>
        <v>187307512</v>
      </c>
      <c r="H10" s="74" cm="1">
        <f t="array" ref="H10">SUM(H5:H9)</f>
        <v>208888802</v>
      </c>
      <c r="I10" s="18" cm="1">
        <f t="array" ref="I10">SUM(I5:I9)</f>
        <v>291429386</v>
      </c>
      <c r="J10" s="18" cm="1">
        <f t="array" ref="J10">SUM(J5:J9)</f>
        <v>194181040</v>
      </c>
      <c r="K10" s="18" cm="1">
        <f t="array" ref="K10">SUM(K5:K9)</f>
        <v>213637727</v>
      </c>
      <c r="L10" s="18" cm="1">
        <f t="array" ref="L10">SUM(L5:L9)</f>
        <v>278883630</v>
      </c>
      <c r="M10" s="18" cm="1">
        <f t="array" ref="M10">SUM(M5:M9)</f>
        <v>302794279</v>
      </c>
      <c r="N10" s="61"/>
    </row>
    <row r="11" ht="15" customHeight="1">
      <c r="A11" t="s" s="20">
        <v>23</v>
      </c>
      <c r="B11" s="18" cm="1">
        <f t="array" ref="B11">AVERAGE(B5:B9)</f>
        <v>47010070.75</v>
      </c>
      <c r="C11" s="18" cm="1">
        <f t="array" ref="C11">AVERAGE(C5:C9)</f>
        <v>47052753.75</v>
      </c>
      <c r="D11" s="18" cm="1">
        <f t="array" ref="D11">AVERAGE(D5:D9)</f>
        <v>36111936.2</v>
      </c>
      <c r="E11" s="18" cm="1">
        <f t="array" ref="E11">AVERAGE(E5:E9)</f>
        <v>30906235</v>
      </c>
      <c r="F11" s="18" cm="1">
        <f t="array" ref="F11">AVERAGE(F5:F9)</f>
        <v>69336028</v>
      </c>
      <c r="G11" s="18" cm="1">
        <f t="array" ref="G11">AVERAGE(G5:G9)</f>
        <v>46826878</v>
      </c>
      <c r="H11" s="74" cm="1">
        <f t="array" ref="H11">AVERAGE(H5:H9)</f>
        <v>52222200.5</v>
      </c>
      <c r="I11" s="18" cm="1">
        <f t="array" ref="I11">AVERAGE(I5:I9)</f>
        <v>58285877.2</v>
      </c>
      <c r="J11" s="18" cm="1">
        <f t="array" ref="J11">AVERAGE(J5:J9)</f>
        <v>48545260</v>
      </c>
      <c r="K11" s="18" cm="1">
        <f t="array" ref="K11">AVERAGE(K5:K9)</f>
        <v>53409431.75</v>
      </c>
      <c r="L11" s="18" cm="1">
        <f t="array" ref="L11">AVERAGE(L5:L9)</f>
        <v>55776726</v>
      </c>
      <c r="M11" s="18" cm="1">
        <f t="array" ref="M11">AVERAGE(M5:M9)</f>
        <v>60558855.8</v>
      </c>
      <c r="N11" s="21"/>
    </row>
    <row r="12" ht="15" customHeight="1">
      <c r="A12" t="s" s="22">
        <v>24</v>
      </c>
      <c r="B12" s="23"/>
      <c r="C12" s="24" cm="1">
        <f t="array" ref="C12">C10/B10-1</f>
        <v>0.000907954387624486</v>
      </c>
      <c r="D12" s="24" cm="1">
        <f t="array" ref="D12">D10/C10-1</f>
        <v>-0.0406529554075249</v>
      </c>
      <c r="E12" s="24" cm="1">
        <f t="array" ref="E12">E10/D10-1</f>
        <v>-0.315323668521546</v>
      </c>
      <c r="F12" s="24" cm="1">
        <f t="array" ref="F12">F10/E10-1</f>
        <v>1.8042896522336</v>
      </c>
      <c r="G12" s="24" cm="1">
        <f t="array" ref="G12">G10/F10-1</f>
        <v>-0.459710867775697</v>
      </c>
      <c r="H12" s="24" cm="1">
        <f t="array" ref="H12">H10/G10-1</f>
        <v>0.115218496949551</v>
      </c>
      <c r="I12" s="24" cm="1">
        <f t="array" ref="I12">I10/H10-1</f>
        <v>0.39514125797897</v>
      </c>
      <c r="J12" s="24" cm="1">
        <f t="array" ref="J12">J10/I10-1</f>
        <v>-0.333694372193475</v>
      </c>
      <c r="K12" s="24" cm="1">
        <f t="array" ref="K12">K10/J10-1</f>
        <v>0.100198696020992</v>
      </c>
      <c r="L12" s="24" cm="1">
        <f t="array" ref="L12">L10/K10-1</f>
        <v>0.305404405468141</v>
      </c>
      <c r="M12" s="24" cm="1">
        <f t="array" ref="M12">M10/L10-1</f>
        <v>0.0857370115269943</v>
      </c>
      <c r="N12" s="10"/>
    </row>
    <row r="13" ht="15" customHeight="1">
      <c r="A13" t="s" s="25">
        <v>165</v>
      </c>
      <c r="B13" s="26" cm="1">
        <f t="array" ref="B13">B10</f>
        <v>188040283</v>
      </c>
      <c r="C13" s="26" cm="1">
        <f t="array" ref="C13">C10+B13</f>
        <v>376251298</v>
      </c>
      <c r="D13" s="26" cm="1">
        <f t="array" ref="D13">D10+C13</f>
        <v>556810979</v>
      </c>
      <c r="E13" s="26" cm="1">
        <f t="array" ref="E13">E10+D13</f>
        <v>680435919</v>
      </c>
      <c r="F13" s="26" cm="1">
        <f t="array" ref="F13">F10+E13</f>
        <v>1027116059</v>
      </c>
      <c r="G13" s="26" cm="1">
        <f t="array" ref="G13">G10+F13</f>
        <v>1214423571</v>
      </c>
      <c r="H13" s="26" cm="1">
        <f t="array" ref="H13">H10+G13</f>
        <v>1423312373</v>
      </c>
      <c r="I13" s="26" cm="1">
        <f t="array" ref="I13">I10+H13</f>
        <v>1714741759</v>
      </c>
      <c r="J13" s="26" cm="1">
        <f t="array" ref="J13">J10+I13</f>
        <v>1908922799</v>
      </c>
      <c r="K13" s="26" cm="1">
        <f t="array" ref="K13">K10+J13</f>
        <v>2122560526</v>
      </c>
      <c r="L13" s="26" cm="1">
        <f t="array" ref="L13">L10+K13</f>
        <v>2401444156</v>
      </c>
      <c r="M13" s="26" cm="1">
        <f t="array" ref="M13">M10+L13</f>
        <v>2704238435</v>
      </c>
      <c r="N13" s="76"/>
    </row>
    <row r="14" ht="15" customHeight="1">
      <c r="A14" t="s" s="25">
        <v>155</v>
      </c>
      <c r="B14" s="26">
        <v>192625590</v>
      </c>
      <c r="C14" s="26">
        <v>385146852</v>
      </c>
      <c r="D14" s="26">
        <v>765925053</v>
      </c>
      <c r="E14" s="26">
        <v>952454515</v>
      </c>
      <c r="F14" s="26">
        <v>1134938780</v>
      </c>
      <c r="G14" s="26">
        <v>1394103929</v>
      </c>
      <c r="H14" s="26">
        <v>1576164597</v>
      </c>
      <c r="I14" s="26">
        <v>1780737489</v>
      </c>
      <c r="J14" s="26">
        <v>1952995991</v>
      </c>
      <c r="K14" s="26">
        <v>2184968177</v>
      </c>
      <c r="L14" s="26">
        <v>2368783736</v>
      </c>
      <c r="M14" s="26">
        <v>2669331603</v>
      </c>
      <c r="N14" s="57"/>
    </row>
    <row r="15" ht="15" customHeight="1">
      <c r="A15" t="s" s="25">
        <v>166</v>
      </c>
      <c r="B15" s="28" cm="1">
        <f t="array" ref="B15">B13/B14-1</f>
        <v>-0.0238042463620747</v>
      </c>
      <c r="C15" s="28" cm="1">
        <f t="array" ref="C15">C13/C14-1</f>
        <v>-0.0230965252703143</v>
      </c>
      <c r="D15" s="28" cm="1">
        <f t="array" ref="D15">D13/D14-1</f>
        <v>-0.273021587661789</v>
      </c>
      <c r="E15" s="28" cm="1">
        <f t="array" ref="E15">E13/E14-1</f>
        <v>-0.285597466037525</v>
      </c>
      <c r="F15" s="28" cm="1">
        <f t="array" ref="F15">F13/F14-1</f>
        <v>-0.095003116379546</v>
      </c>
      <c r="G15" s="28" cm="1">
        <f t="array" ref="G15">G13/G14-1</f>
        <v>-0.128885913210851</v>
      </c>
      <c r="H15" s="28" cm="1">
        <f t="array" ref="H15">H13/H14-1</f>
        <v>-0.09697732349205911</v>
      </c>
      <c r="I15" s="28" cm="1">
        <f t="array" ref="I15">I13/I14-1</f>
        <v>-0.0370608977503253</v>
      </c>
      <c r="J15" s="28" cm="1">
        <f t="array" ref="J15">J13/J14-1</f>
        <v>-0.022566964910887</v>
      </c>
      <c r="K15" s="28" cm="1">
        <f t="array" ref="K15">K13/K14-1</f>
        <v>-0.0285622699941044</v>
      </c>
      <c r="L15" s="28" cm="1">
        <f t="array" ref="L15">L13/L14-1</f>
        <v>0.0137878437375424</v>
      </c>
      <c r="M15" s="28" cm="1">
        <f t="array" ref="M15">M13/M14-1</f>
        <v>0.0130769934918423</v>
      </c>
      <c r="N15" s="77"/>
    </row>
    <row r="16" ht="15" customHeight="1">
      <c r="A16" s="11"/>
      <c r="B16" s="28"/>
      <c r="C16" s="28"/>
      <c r="D16" s="28"/>
      <c r="E16" s="28"/>
      <c r="F16" s="28"/>
      <c r="G16" s="28"/>
      <c r="H16" s="28"/>
      <c r="I16" s="28"/>
      <c r="J16" s="28"/>
      <c r="K16" s="116"/>
      <c r="L16" s="28"/>
      <c r="M16" s="28"/>
      <c r="N16" s="10"/>
    </row>
    <row r="17" ht="15" customHeight="1">
      <c r="A17" t="s" s="106">
        <v>167</v>
      </c>
      <c r="B17" s="28"/>
      <c r="C17" s="28"/>
      <c r="D17" s="28"/>
      <c r="E17" s="28"/>
      <c r="F17" s="28"/>
      <c r="G17" s="28"/>
      <c r="H17" s="28"/>
      <c r="I17" s="28"/>
      <c r="J17" s="28"/>
      <c r="K17" s="116"/>
      <c r="L17" s="28"/>
      <c r="M17" s="28"/>
      <c r="N17" s="10"/>
    </row>
    <row r="18" ht="15" customHeight="1">
      <c r="A18" s="131"/>
      <c r="B18" s="132"/>
      <c r="C18" s="132"/>
      <c r="D18" s="132"/>
      <c r="E18" s="132"/>
      <c r="F18" s="132"/>
      <c r="G18" s="132"/>
      <c r="H18" s="132"/>
      <c r="I18" s="132"/>
      <c r="J18" s="132"/>
      <c r="K18" s="133"/>
      <c r="L18" s="132"/>
      <c r="M18" s="132"/>
      <c r="N18" s="10"/>
    </row>
    <row r="19" ht="15" customHeight="1">
      <c r="A19" t="s" s="14">
        <v>8</v>
      </c>
      <c r="B19" t="s" s="14">
        <v>9</v>
      </c>
      <c r="C19" t="s" s="14">
        <v>10</v>
      </c>
      <c r="D19" t="s" s="14">
        <v>11</v>
      </c>
      <c r="E19" t="s" s="14">
        <v>12</v>
      </c>
      <c r="F19" t="s" s="14">
        <v>13</v>
      </c>
      <c r="G19" t="s" s="14">
        <v>14</v>
      </c>
      <c r="H19" t="s" s="14">
        <v>15</v>
      </c>
      <c r="I19" t="s" s="14">
        <v>16</v>
      </c>
      <c r="J19" t="s" s="14">
        <v>17</v>
      </c>
      <c r="K19" t="s" s="14">
        <v>18</v>
      </c>
      <c r="L19" t="s" s="14">
        <v>19</v>
      </c>
      <c r="M19" t="s" s="14">
        <v>20</v>
      </c>
      <c r="N19" s="21"/>
    </row>
    <row r="20" ht="15" customHeight="1">
      <c r="A20" s="37"/>
      <c r="B20" s="134">
        <v>1</v>
      </c>
      <c r="C20" s="134" cm="1">
        <f t="array" ref="C20">B23+1</f>
        <v>5</v>
      </c>
      <c r="D20" s="134" cm="1">
        <f t="array" ref="D20">C23+1</f>
        <v>9</v>
      </c>
      <c r="E20" s="134" cm="1">
        <f t="array" ref="E20">D24+1</f>
        <v>14</v>
      </c>
      <c r="F20" s="134" cm="1">
        <f t="array" ref="F20">E23+1</f>
        <v>18</v>
      </c>
      <c r="G20" s="134" cm="1">
        <f t="array" ref="G20">F24+1</f>
        <v>23</v>
      </c>
      <c r="H20" s="134" cm="1">
        <f t="array" ref="H20">G23+1</f>
        <v>27</v>
      </c>
      <c r="I20" s="134" cm="1">
        <f t="array" ref="I20">H23+1</f>
        <v>31</v>
      </c>
      <c r="J20" s="84" cm="1">
        <f t="array" ref="J20">I24+1</f>
        <v>36</v>
      </c>
      <c r="K20" s="134" cm="1">
        <f t="array" ref="K20">J23+1</f>
        <v>40</v>
      </c>
      <c r="L20" s="134" cm="1">
        <f t="array" ref="L20">K23+1</f>
        <v>44</v>
      </c>
      <c r="M20" s="134" cm="1">
        <f t="array" ref="M20">L24+1</f>
        <v>49</v>
      </c>
      <c r="N20" s="10"/>
    </row>
    <row r="21" ht="15" customHeight="1">
      <c r="A21" s="37"/>
      <c r="B21" s="134">
        <v>2</v>
      </c>
      <c r="C21" s="134" cm="1">
        <f t="array" ref="C21">C20+1</f>
        <v>6</v>
      </c>
      <c r="D21" s="134" cm="1">
        <f t="array" ref="D21">D20+1</f>
        <v>10</v>
      </c>
      <c r="E21" s="134" cm="1">
        <f t="array" ref="E21">E20+1</f>
        <v>15</v>
      </c>
      <c r="F21" s="134" cm="1">
        <f t="array" ref="F21">F20+1</f>
        <v>19</v>
      </c>
      <c r="G21" s="134" cm="1">
        <f t="array" ref="G21">G20+1</f>
        <v>24</v>
      </c>
      <c r="H21" s="134" cm="1">
        <f t="array" ref="H21">H20+1</f>
        <v>28</v>
      </c>
      <c r="I21" s="134" cm="1">
        <f t="array" ref="I21">I20+1</f>
        <v>32</v>
      </c>
      <c r="J21" s="84" cm="1">
        <f t="array" ref="J21">J20+1</f>
        <v>37</v>
      </c>
      <c r="K21" s="84" cm="1">
        <f t="array" ref="K21">K20+1</f>
        <v>41</v>
      </c>
      <c r="L21" s="84" cm="1">
        <f t="array" ref="L21">L20+1</f>
        <v>45</v>
      </c>
      <c r="M21" s="84" cm="1">
        <f t="array" ref="M21">M20+1</f>
        <v>50</v>
      </c>
      <c r="N21" s="10"/>
    </row>
    <row r="22" ht="15" customHeight="1">
      <c r="A22" s="37"/>
      <c r="B22" s="134">
        <v>3</v>
      </c>
      <c r="C22" s="134" cm="1">
        <f t="array" ref="C22">C21+1</f>
        <v>7</v>
      </c>
      <c r="D22" s="134" cm="1">
        <f t="array" ref="D22">D21+1</f>
        <v>11</v>
      </c>
      <c r="E22" s="134" cm="1">
        <f t="array" ref="E22">E21+1</f>
        <v>16</v>
      </c>
      <c r="F22" s="134" cm="1">
        <f t="array" ref="F22">F21+1</f>
        <v>20</v>
      </c>
      <c r="G22" s="134" cm="1">
        <f t="array" ref="G22">G21+1</f>
        <v>25</v>
      </c>
      <c r="H22" s="134" cm="1">
        <f t="array" ref="H22">H21+1</f>
        <v>29</v>
      </c>
      <c r="I22" s="134" cm="1">
        <f t="array" ref="I22">I21+1</f>
        <v>33</v>
      </c>
      <c r="J22" s="84" cm="1">
        <f t="array" ref="J22">J21+1</f>
        <v>38</v>
      </c>
      <c r="K22" s="84" cm="1">
        <f t="array" ref="K22">K21+1</f>
        <v>42</v>
      </c>
      <c r="L22" s="84" cm="1">
        <f t="array" ref="L22">L21+1</f>
        <v>46</v>
      </c>
      <c r="M22" s="84" cm="1">
        <f t="array" ref="M22">M21+1</f>
        <v>51</v>
      </c>
      <c r="N22" s="10"/>
    </row>
    <row r="23" ht="15" customHeight="1">
      <c r="A23" s="37"/>
      <c r="B23" s="134">
        <v>4</v>
      </c>
      <c r="C23" s="134" cm="1">
        <f t="array" ref="C23">C22+1</f>
        <v>8</v>
      </c>
      <c r="D23" s="134" cm="1">
        <f t="array" ref="D23">D22+1</f>
        <v>12</v>
      </c>
      <c r="E23" s="134" cm="1">
        <f t="array" ref="E23">E22+1</f>
        <v>17</v>
      </c>
      <c r="F23" s="134" cm="1">
        <f t="array" ref="F23">F22+1</f>
        <v>21</v>
      </c>
      <c r="G23" s="134" cm="1">
        <f t="array" ref="G23">G22+1</f>
        <v>26</v>
      </c>
      <c r="H23" s="134" cm="1">
        <f t="array" ref="H23">H22+1</f>
        <v>30</v>
      </c>
      <c r="I23" s="134" cm="1">
        <f t="array" ref="I23">I22+1</f>
        <v>34</v>
      </c>
      <c r="J23" s="84" cm="1">
        <f t="array" ref="J23">J22+1</f>
        <v>39</v>
      </c>
      <c r="K23" s="84" cm="1">
        <f t="array" ref="K23">K22+1</f>
        <v>43</v>
      </c>
      <c r="L23" s="84" cm="1">
        <f t="array" ref="L23">L22+1</f>
        <v>47</v>
      </c>
      <c r="M23" s="84" cm="1">
        <f t="array" ref="M23">M22+1</f>
        <v>52</v>
      </c>
      <c r="N23" s="10"/>
    </row>
    <row r="24" ht="15" customHeight="1">
      <c r="A24" s="37"/>
      <c r="B24" s="134"/>
      <c r="C24" s="134"/>
      <c r="D24" s="134" cm="1">
        <f t="array" ref="D24">D23+1</f>
        <v>13</v>
      </c>
      <c r="E24" s="134"/>
      <c r="F24" s="134" cm="1">
        <f t="array" ref="F24">F23+1</f>
        <v>22</v>
      </c>
      <c r="G24" s="84"/>
      <c r="H24" s="84"/>
      <c r="I24" s="134" cm="1">
        <f t="array" ref="I24">I23+1</f>
        <v>35</v>
      </c>
      <c r="J24" s="84"/>
      <c r="K24" s="84"/>
      <c r="L24" s="84" cm="1">
        <f t="array" ref="L24">L23+1</f>
        <v>48</v>
      </c>
      <c r="M24" s="84" cm="1">
        <f t="array" ref="M24">M23+1</f>
        <v>53</v>
      </c>
      <c r="N24" s="10"/>
    </row>
    <row r="25" ht="15" customHeight="1">
      <c r="A25" s="37"/>
      <c r="B25" s="134"/>
      <c r="C25" s="134"/>
      <c r="D25" s="134"/>
      <c r="E25" s="134"/>
      <c r="F25" s="84"/>
      <c r="G25" s="84"/>
      <c r="H25" s="84"/>
      <c r="I25" s="84"/>
      <c r="J25" s="84"/>
      <c r="K25" s="84"/>
      <c r="L25" s="84"/>
      <c r="M25" s="84"/>
      <c r="N25" s="10"/>
    </row>
    <row r="26" ht="15" customHeight="1">
      <c r="A26" s="37"/>
      <c r="B26" s="134"/>
      <c r="C26" s="134"/>
      <c r="D26" s="134"/>
      <c r="E26" s="134"/>
      <c r="F26" s="84"/>
      <c r="G26" s="84"/>
      <c r="H26" s="84"/>
      <c r="I26" s="84"/>
      <c r="J26" s="84"/>
      <c r="K26" s="84"/>
      <c r="L26" s="84"/>
      <c r="M26" s="84"/>
      <c r="N26" s="10"/>
    </row>
    <row r="27" ht="15" customHeight="1">
      <c r="A27" s="37"/>
      <c r="B27" s="134"/>
      <c r="C27" s="134"/>
      <c r="D27" s="134"/>
      <c r="E27" s="134"/>
      <c r="F27" s="84"/>
      <c r="G27" s="84"/>
      <c r="H27" s="84"/>
      <c r="I27" s="84"/>
      <c r="J27" s="84"/>
      <c r="K27" s="84"/>
      <c r="L27" s="84"/>
      <c r="M27" s="84"/>
      <c r="N27" s="10"/>
    </row>
    <row r="28" ht="15" customHeight="1">
      <c r="A28" s="37"/>
      <c r="B28" s="83"/>
      <c r="C28" s="83"/>
      <c r="D28" s="83"/>
      <c r="E28" s="83"/>
      <c r="F28" s="37"/>
      <c r="G28" s="37"/>
      <c r="H28" s="37"/>
      <c r="I28" s="37"/>
      <c r="J28" s="37"/>
      <c r="K28" s="37"/>
      <c r="L28" s="37"/>
      <c r="M28" s="37"/>
      <c r="N28" s="10"/>
    </row>
    <row r="29" ht="15" customHeight="1">
      <c r="A29" t="s" s="33">
        <v>120</v>
      </c>
      <c r="B29" s="18" cm="1">
        <f t="array" ref="B29">304000+145000+232000+199000</f>
        <v>880000</v>
      </c>
      <c r="C29" s="92" cm="1">
        <f t="array" ref="C29">202000+279000+69000+190000</f>
        <v>740000</v>
      </c>
      <c r="D29" s="18" cm="1">
        <f t="array" ref="D29">100000+327000+65000+37000</f>
        <v>529000</v>
      </c>
      <c r="E29" s="18" cm="1">
        <f t="array" ref="E29">99000+1200000+110000+22000</f>
        <v>1431000</v>
      </c>
      <c r="F29" s="18" cm="1">
        <f t="array" ref="F29">336000+70000+77000+590000+140000</f>
        <v>1213000</v>
      </c>
      <c r="G29" s="18" cm="1">
        <f t="array" ref="G29">21000+55000+30000+40000</f>
        <v>146000</v>
      </c>
      <c r="H29" s="18" cm="1">
        <f t="array" ref="H29">115000+80000+20000+55000+10000</f>
        <v>280000</v>
      </c>
      <c r="I29" s="92" cm="1">
        <f t="array" ref="I29">250000+70000+782500+35000</f>
        <v>1137500</v>
      </c>
      <c r="J29" s="92" cm="1">
        <f t="array" ref="J29">536000+160000+10000+10000</f>
        <v>716000</v>
      </c>
      <c r="K29" s="92" cm="1">
        <f t="array" ref="K29">95000+66000+62000</f>
        <v>223000</v>
      </c>
      <c r="L29" s="18" cm="1">
        <f t="array" ref="L29">5000+75000+300000+54000+44000</f>
        <v>478000</v>
      </c>
      <c r="M29" s="92" cm="1">
        <f t="array" ref="M29">220000+50000+35000</f>
        <v>305000</v>
      </c>
      <c r="N29" s="98" cm="1">
        <f t="array" ref="N29">SUM(B29:M29)</f>
        <v>8078500</v>
      </c>
    </row>
    <row r="30" ht="15" customHeight="1">
      <c r="A30" t="s" s="33">
        <v>38</v>
      </c>
      <c r="B30" s="18"/>
      <c r="C30" s="18"/>
      <c r="D30" s="18"/>
      <c r="E30" s="18"/>
      <c r="F30" s="18"/>
      <c r="G30" s="18"/>
      <c r="H30" s="18"/>
      <c r="I30" s="18"/>
      <c r="J30" s="18"/>
      <c r="K30" s="18"/>
      <c r="L30" s="18"/>
      <c r="M30" s="18"/>
      <c r="N30" s="98" cm="1">
        <f t="array" ref="N30">SUM(B30:M30)</f>
        <v>0</v>
      </c>
    </row>
    <row r="31" ht="15" customHeight="1">
      <c r="A31" t="s" s="33">
        <v>121</v>
      </c>
      <c r="B31" s="18"/>
      <c r="C31" s="18"/>
      <c r="D31" s="18"/>
      <c r="E31" s="18"/>
      <c r="F31" s="18"/>
      <c r="G31" s="18"/>
      <c r="H31" s="18"/>
      <c r="I31" s="18"/>
      <c r="J31" s="18"/>
      <c r="K31" s="18"/>
      <c r="L31" s="18"/>
      <c r="M31" s="18"/>
      <c r="N31" s="19" cm="1">
        <f t="array" ref="N31">SUM(B31:M31)</f>
        <v>0</v>
      </c>
    </row>
    <row r="32" ht="15" customHeight="1">
      <c r="A32" t="s" s="33">
        <v>122</v>
      </c>
      <c r="B32" s="18"/>
      <c r="C32" s="18"/>
      <c r="D32" s="18"/>
      <c r="E32" s="18"/>
      <c r="F32" s="18"/>
      <c r="G32" s="18"/>
      <c r="H32" s="18"/>
      <c r="I32" s="18"/>
      <c r="J32" s="18"/>
      <c r="K32" s="18"/>
      <c r="L32" s="18"/>
      <c r="M32" s="18"/>
      <c r="N32" s="19" cm="1">
        <f t="array" ref="N32">SUM(B32:M32)</f>
        <v>0</v>
      </c>
    </row>
    <row r="33" ht="15" customHeight="1">
      <c r="A33" t="s" s="33">
        <v>49</v>
      </c>
      <c r="B33" s="18"/>
      <c r="C33" s="18"/>
      <c r="D33" s="18"/>
      <c r="E33" s="18"/>
      <c r="F33" s="18"/>
      <c r="G33" s="18"/>
      <c r="H33" s="18"/>
      <c r="I33" s="18"/>
      <c r="J33" s="18"/>
      <c r="K33" s="18"/>
      <c r="L33" s="18"/>
      <c r="M33" s="18"/>
      <c r="N33" s="19" cm="1">
        <f t="array" ref="N33">SUM(B33:M33)</f>
        <v>0</v>
      </c>
    </row>
    <row r="34" ht="15" customHeight="1">
      <c r="A34" s="30"/>
      <c r="B34" s="23"/>
      <c r="C34" s="23"/>
      <c r="D34" s="23"/>
      <c r="E34" s="23"/>
      <c r="F34" s="23"/>
      <c r="G34" s="23"/>
      <c r="H34" s="23"/>
      <c r="I34" s="45"/>
      <c r="J34" s="23"/>
      <c r="K34" s="23"/>
      <c r="L34" s="23"/>
      <c r="M34" s="23"/>
      <c r="N34" s="27"/>
    </row>
    <row r="35" ht="15" customHeight="1">
      <c r="A35" s="11"/>
      <c r="B35" s="26"/>
      <c r="C35" s="26"/>
      <c r="D35" s="26"/>
      <c r="E35" s="26"/>
      <c r="F35" s="26"/>
      <c r="G35" s="26"/>
      <c r="H35" s="26"/>
      <c r="I35" s="26"/>
      <c r="J35" s="26"/>
      <c r="K35" s="26"/>
      <c r="L35" s="26"/>
      <c r="M35" s="26"/>
      <c r="N35" s="27"/>
    </row>
    <row r="36" ht="23" customHeight="1">
      <c r="A36" t="s" s="7">
        <v>6</v>
      </c>
      <c r="B36" s="8"/>
      <c r="C36" s="8"/>
      <c r="D36" s="9"/>
      <c r="E36" s="9"/>
      <c r="F36" s="9"/>
      <c r="G36" s="9"/>
      <c r="H36" s="9"/>
      <c r="I36" s="9"/>
      <c r="J36" s="9"/>
      <c r="K36" s="9"/>
      <c r="L36" s="9"/>
      <c r="M36" s="9"/>
      <c r="N36" s="27"/>
    </row>
    <row r="37" ht="23" customHeight="1">
      <c r="A37" t="s" s="7">
        <v>168</v>
      </c>
      <c r="B37" s="8"/>
      <c r="C37" s="8"/>
      <c r="D37" s="12"/>
      <c r="E37" s="12"/>
      <c r="F37" s="12"/>
      <c r="G37" s="12"/>
      <c r="H37" s="12"/>
      <c r="I37" s="12"/>
      <c r="J37" s="12"/>
      <c r="K37" s="12"/>
      <c r="L37" s="12"/>
      <c r="M37" s="12"/>
      <c r="N37" s="27"/>
    </row>
    <row r="38" ht="23" customHeight="1">
      <c r="A38" s="8"/>
      <c r="B38" s="8"/>
      <c r="C38" s="8"/>
      <c r="D38" s="9"/>
      <c r="E38" s="9"/>
      <c r="F38" s="9"/>
      <c r="G38" s="9"/>
      <c r="H38" s="9"/>
      <c r="I38" s="9"/>
      <c r="J38" s="9"/>
      <c r="K38" s="9"/>
      <c r="L38" s="9"/>
      <c r="M38" s="9"/>
      <c r="N38" s="27"/>
    </row>
    <row r="39" ht="15" customHeight="1">
      <c r="A39" s="13"/>
      <c r="B39" s="13"/>
      <c r="C39" s="13"/>
      <c r="D39" s="13"/>
      <c r="E39" s="13"/>
      <c r="F39" s="13"/>
      <c r="G39" s="13"/>
      <c r="H39" s="13"/>
      <c r="I39" s="13"/>
      <c r="J39" s="13"/>
      <c r="K39" s="13"/>
      <c r="L39" s="13"/>
      <c r="M39" s="13"/>
      <c r="N39" s="78"/>
    </row>
    <row r="40" ht="15" customHeight="1">
      <c r="A40" t="s" s="32">
        <v>28</v>
      </c>
      <c r="B40" t="s" s="14">
        <v>9</v>
      </c>
      <c r="C40" t="s" s="14">
        <v>10</v>
      </c>
      <c r="D40" t="s" s="14">
        <v>11</v>
      </c>
      <c r="E40" t="s" s="14">
        <v>12</v>
      </c>
      <c r="F40" t="s" s="14">
        <v>13</v>
      </c>
      <c r="G40" t="s" s="14">
        <v>14</v>
      </c>
      <c r="H40" t="s" s="14">
        <v>15</v>
      </c>
      <c r="I40" t="s" s="14">
        <v>16</v>
      </c>
      <c r="J40" t="s" s="14">
        <v>17</v>
      </c>
      <c r="K40" t="s" s="14">
        <v>18</v>
      </c>
      <c r="L40" t="s" s="14">
        <v>19</v>
      </c>
      <c r="M40" t="s" s="14">
        <v>20</v>
      </c>
      <c r="N40" t="s" s="73">
        <v>164</v>
      </c>
    </row>
    <row r="41" ht="15" customHeight="1">
      <c r="A41" t="s" s="33">
        <v>29</v>
      </c>
      <c r="B41" s="79"/>
      <c r="C41" s="79"/>
      <c r="D41" s="79"/>
      <c r="E41" s="80"/>
      <c r="F41" s="80"/>
      <c r="G41" s="80"/>
      <c r="H41" s="80"/>
      <c r="I41" s="80"/>
      <c r="J41" s="35"/>
      <c r="K41" s="35"/>
      <c r="L41" s="35"/>
      <c r="M41" s="35"/>
      <c r="N41" s="135"/>
    </row>
    <row r="42" ht="15" customHeight="1">
      <c r="A42" t="s" s="33">
        <v>30</v>
      </c>
      <c r="B42" s="80"/>
      <c r="C42" s="80"/>
      <c r="D42" s="80"/>
      <c r="E42" s="80"/>
      <c r="F42" s="80"/>
      <c r="G42" s="80"/>
      <c r="H42" s="80"/>
      <c r="I42" s="35"/>
      <c r="J42" s="35"/>
      <c r="K42" s="35"/>
      <c r="L42" s="35"/>
      <c r="M42" s="35"/>
      <c r="N42" s="36"/>
    </row>
    <row r="43" ht="15" customHeight="1">
      <c r="A43" t="s" s="33">
        <v>31</v>
      </c>
      <c r="B43" s="80"/>
      <c r="C43" s="80"/>
      <c r="D43" s="80"/>
      <c r="E43" s="80"/>
      <c r="F43" s="80"/>
      <c r="G43" s="80"/>
      <c r="H43" s="80"/>
      <c r="I43" s="35"/>
      <c r="J43" s="35"/>
      <c r="K43" s="35"/>
      <c r="L43" s="35"/>
      <c r="M43" s="35"/>
      <c r="N43" s="36"/>
    </row>
    <row r="44" ht="15" customHeight="1">
      <c r="A44" t="s" s="33">
        <v>32</v>
      </c>
      <c r="B44" s="80" cm="1">
        <f t="array" ref="B44">971+29+40</f>
        <v>1040</v>
      </c>
      <c r="C44" s="80" cm="1">
        <f t="array" ref="C44">42+1102+39</f>
        <v>1183</v>
      </c>
      <c r="D44" s="80" cm="1">
        <f t="array" ref="D44">19+360+35</f>
        <v>414</v>
      </c>
      <c r="E44" s="80"/>
      <c r="F44" s="80"/>
      <c r="G44" s="80"/>
      <c r="H44" s="80"/>
      <c r="I44" s="35"/>
      <c r="J44" s="35"/>
      <c r="K44" s="35"/>
      <c r="L44" s="35"/>
      <c r="M44" s="35"/>
      <c r="N44" s="36"/>
    </row>
    <row r="45" ht="15" customHeight="1">
      <c r="A45" t="s" s="33">
        <v>33</v>
      </c>
      <c r="B45" s="80"/>
      <c r="C45" s="80"/>
      <c r="D45" s="80"/>
      <c r="E45" s="80"/>
      <c r="F45" s="80"/>
      <c r="G45" s="80"/>
      <c r="H45" s="80"/>
      <c r="I45" s="80"/>
      <c r="J45" s="35"/>
      <c r="K45" s="80"/>
      <c r="L45" s="35"/>
      <c r="M45" s="35"/>
      <c r="N45" s="36"/>
    </row>
    <row r="46" ht="15" customHeight="1">
      <c r="A46" s="40">
        <v>1</v>
      </c>
      <c r="B46" s="80"/>
      <c r="C46" s="80"/>
      <c r="D46" s="80"/>
      <c r="E46" s="80"/>
      <c r="F46" s="80"/>
      <c r="G46" s="80"/>
      <c r="H46" s="80"/>
      <c r="I46" s="35"/>
      <c r="J46" s="35"/>
      <c r="K46" s="35"/>
      <c r="L46" s="35"/>
      <c r="M46" s="35"/>
      <c r="N46" s="36"/>
    </row>
    <row r="47" ht="15" customHeight="1">
      <c r="A47" s="40">
        <v>2</v>
      </c>
      <c r="B47" s="80"/>
      <c r="C47" s="80"/>
      <c r="D47" s="80"/>
      <c r="E47" s="80"/>
      <c r="F47" s="80"/>
      <c r="G47" s="80"/>
      <c r="H47" s="80"/>
      <c r="I47" s="35"/>
      <c r="J47" s="35"/>
      <c r="K47" s="35"/>
      <c r="L47" s="35"/>
      <c r="M47" s="35"/>
      <c r="N47" s="36"/>
    </row>
    <row r="48" ht="15" customHeight="1">
      <c r="A48" s="40">
        <v>3</v>
      </c>
      <c r="B48" s="80"/>
      <c r="C48" s="80"/>
      <c r="D48" s="80"/>
      <c r="E48" s="80"/>
      <c r="F48" s="80"/>
      <c r="G48" s="80"/>
      <c r="H48" s="80"/>
      <c r="I48" s="35"/>
      <c r="J48" s="35"/>
      <c r="K48" s="35"/>
      <c r="L48" s="35"/>
      <c r="M48" s="35"/>
      <c r="N48" s="36"/>
    </row>
    <row r="49" ht="15" customHeight="1">
      <c r="A49" t="s" s="33">
        <v>34</v>
      </c>
      <c r="B49" s="35"/>
      <c r="C49" s="35"/>
      <c r="D49" s="35"/>
      <c r="E49" s="35"/>
      <c r="F49" s="35"/>
      <c r="G49" s="35"/>
      <c r="H49" s="35"/>
      <c r="I49" s="35"/>
      <c r="J49" s="35"/>
      <c r="K49" s="35"/>
      <c r="L49" s="35"/>
      <c r="M49" s="35"/>
      <c r="N49" s="36"/>
    </row>
    <row r="50" ht="15" customHeight="1">
      <c r="A50" s="37"/>
      <c r="B50" s="83"/>
      <c r="C50" s="83"/>
      <c r="D50" s="83"/>
      <c r="E50" s="83"/>
      <c r="F50" s="83"/>
      <c r="G50" s="84"/>
      <c r="H50" s="83"/>
      <c r="I50" s="37"/>
      <c r="J50" s="37"/>
      <c r="K50" s="37"/>
      <c r="L50" s="37"/>
      <c r="M50" s="37"/>
      <c r="N50" s="11"/>
    </row>
    <row r="51" ht="15" customHeight="1">
      <c r="A51" t="s" s="32">
        <v>28</v>
      </c>
      <c r="B51" t="s" s="14">
        <v>9</v>
      </c>
      <c r="C51" t="s" s="14">
        <v>10</v>
      </c>
      <c r="D51" t="s" s="14">
        <v>11</v>
      </c>
      <c r="E51" t="s" s="14">
        <v>12</v>
      </c>
      <c r="F51" t="s" s="14">
        <v>13</v>
      </c>
      <c r="G51" t="s" s="14">
        <v>14</v>
      </c>
      <c r="H51" t="s" s="14">
        <v>15</v>
      </c>
      <c r="I51" t="s" s="14">
        <v>16</v>
      </c>
      <c r="J51" t="s" s="14">
        <v>17</v>
      </c>
      <c r="K51" t="s" s="14">
        <v>18</v>
      </c>
      <c r="L51" t="s" s="14">
        <v>19</v>
      </c>
      <c r="M51" t="s" s="14">
        <v>20</v>
      </c>
      <c r="N51" s="36"/>
    </row>
    <row r="52" ht="15" customHeight="1">
      <c r="A52" t="s" s="33">
        <v>35</v>
      </c>
      <c r="B52" s="17">
        <v>87</v>
      </c>
      <c r="C52" s="17">
        <v>67</v>
      </c>
      <c r="D52" s="17">
        <v>55</v>
      </c>
      <c r="E52" s="17">
        <v>12</v>
      </c>
      <c r="F52" s="17">
        <v>8</v>
      </c>
      <c r="G52" s="17">
        <v>5</v>
      </c>
      <c r="H52" s="17">
        <v>13</v>
      </c>
      <c r="I52" s="17">
        <v>11</v>
      </c>
      <c r="J52" s="17">
        <v>13</v>
      </c>
      <c r="K52" s="17">
        <v>13</v>
      </c>
      <c r="L52" s="17">
        <v>3</v>
      </c>
      <c r="M52" s="17">
        <v>2</v>
      </c>
      <c r="N52" s="82" cm="1">
        <f t="array" ref="N52">SUM(B52:M52)/12</f>
        <v>24.0833333333333</v>
      </c>
    </row>
    <row r="53" ht="15" customHeight="1">
      <c r="A53" t="s" s="33">
        <v>85</v>
      </c>
      <c r="B53" s="35"/>
      <c r="C53" s="17">
        <v>103</v>
      </c>
      <c r="D53" s="35"/>
      <c r="E53" s="17">
        <v>128</v>
      </c>
      <c r="F53" s="35"/>
      <c r="G53" s="17">
        <v>78</v>
      </c>
      <c r="H53" s="17">
        <v>89</v>
      </c>
      <c r="I53" s="17">
        <v>31</v>
      </c>
      <c r="J53" s="17">
        <v>32</v>
      </c>
      <c r="K53" s="17">
        <v>24</v>
      </c>
      <c r="L53" s="17">
        <v>15</v>
      </c>
      <c r="M53" s="17">
        <v>31</v>
      </c>
      <c r="N53" s="67" cm="1">
        <f t="array" ref="N53">SUM(B53:M53)/12</f>
        <v>44.25</v>
      </c>
    </row>
    <row r="54" ht="15" customHeight="1">
      <c r="A54" t="s" s="33">
        <v>37</v>
      </c>
      <c r="B54" s="35"/>
      <c r="C54" s="35"/>
      <c r="D54" s="35"/>
      <c r="E54" s="35"/>
      <c r="F54" s="35"/>
      <c r="G54" s="35"/>
      <c r="H54" s="35"/>
      <c r="I54" s="35"/>
      <c r="J54" s="35"/>
      <c r="K54" s="35"/>
      <c r="L54" s="35"/>
      <c r="M54" s="35"/>
      <c r="N54" s="67" cm="1">
        <f t="array" ref="N54">SUM(B54:M54)</f>
        <v>0</v>
      </c>
    </row>
    <row r="55" ht="15" customHeight="1">
      <c r="A55" t="s" s="33">
        <v>100</v>
      </c>
      <c r="B55" s="35"/>
      <c r="C55" s="17">
        <v>50</v>
      </c>
      <c r="D55" s="35"/>
      <c r="E55" s="17">
        <v>123</v>
      </c>
      <c r="F55" s="35"/>
      <c r="G55" s="17">
        <v>103</v>
      </c>
      <c r="H55" s="17">
        <v>111</v>
      </c>
      <c r="I55" s="17">
        <v>24</v>
      </c>
      <c r="J55" s="35"/>
      <c r="K55" s="17">
        <v>26</v>
      </c>
      <c r="L55" s="17">
        <v>28</v>
      </c>
      <c r="M55" s="35"/>
      <c r="N55" s="67" cm="1">
        <f t="array" ref="N55">SUM(B55:M55)/12</f>
        <v>38.75</v>
      </c>
    </row>
    <row r="56" ht="15" customHeight="1">
      <c r="A56" t="s" s="33">
        <v>101</v>
      </c>
      <c r="B56" s="35"/>
      <c r="C56" s="17">
        <v>23</v>
      </c>
      <c r="D56" s="35"/>
      <c r="E56" s="17">
        <v>75</v>
      </c>
      <c r="F56" s="35"/>
      <c r="G56" s="17">
        <v>153</v>
      </c>
      <c r="H56" s="17">
        <v>108</v>
      </c>
      <c r="I56" s="17">
        <v>15</v>
      </c>
      <c r="J56" s="17">
        <v>14</v>
      </c>
      <c r="K56" s="35"/>
      <c r="L56" s="17">
        <v>17</v>
      </c>
      <c r="M56" s="35"/>
      <c r="N56" s="67" cm="1">
        <f t="array" ref="N56">SUM(B56:M56)/12</f>
        <v>33.75</v>
      </c>
    </row>
    <row r="57" ht="15" customHeight="1">
      <c r="A57" t="s" s="33">
        <v>169</v>
      </c>
      <c r="B57" s="17" cm="1">
        <f t="array" ref="B57">55+43+43+3+38+5+24+4+7</f>
        <v>222</v>
      </c>
      <c r="C57" s="17" cm="1">
        <f t="array" ref="C57">55+43+43+3+38+5+24+4+7</f>
        <v>222</v>
      </c>
      <c r="D57" s="17" cm="1">
        <f t="array" ref="D57">55+43+43+3+38+5+24+4+7</f>
        <v>222</v>
      </c>
      <c r="E57" s="17" cm="1">
        <f t="array" ref="E57">55+43+43+3+38+5+24+4+7</f>
        <v>222</v>
      </c>
      <c r="F57" s="17" cm="1">
        <f t="array" ref="F57">55+43+43+3+38+5+24+4+7</f>
        <v>222</v>
      </c>
      <c r="G57" s="17" cm="1">
        <f t="array" ref="G57">55+43+43+3+38+5+24+4+7</f>
        <v>222</v>
      </c>
      <c r="H57" s="35"/>
      <c r="I57" s="35"/>
      <c r="J57" s="35"/>
      <c r="K57" s="35"/>
      <c r="L57" s="35"/>
      <c r="M57" s="35"/>
      <c r="N57" s="36"/>
    </row>
    <row r="58" ht="15" customHeight="1">
      <c r="A58" s="39"/>
      <c r="B58" s="35"/>
      <c r="C58" s="35"/>
      <c r="D58" s="35"/>
      <c r="E58" s="35"/>
      <c r="F58" s="35"/>
      <c r="G58" s="35"/>
      <c r="H58" s="35"/>
      <c r="I58" s="35"/>
      <c r="J58" s="35"/>
      <c r="K58" s="35"/>
      <c r="L58" s="35"/>
      <c r="M58" s="35"/>
      <c r="N58" s="36"/>
    </row>
    <row r="59" ht="29" customHeight="1">
      <c r="A59" t="s" s="68">
        <v>86</v>
      </c>
      <c r="B59" t="s" s="14">
        <v>9</v>
      </c>
      <c r="C59" t="s" s="14">
        <v>10</v>
      </c>
      <c r="D59" t="s" s="14">
        <v>11</v>
      </c>
      <c r="E59" t="s" s="14">
        <v>12</v>
      </c>
      <c r="F59" t="s" s="14">
        <v>13</v>
      </c>
      <c r="G59" t="s" s="14">
        <v>14</v>
      </c>
      <c r="H59" t="s" s="14">
        <v>15</v>
      </c>
      <c r="I59" t="s" s="14">
        <v>16</v>
      </c>
      <c r="J59" t="s" s="14">
        <v>17</v>
      </c>
      <c r="K59" t="s" s="14">
        <v>18</v>
      </c>
      <c r="L59" t="s" s="14">
        <v>19</v>
      </c>
      <c r="M59" t="s" s="14">
        <v>20</v>
      </c>
      <c r="N59" s="36"/>
    </row>
    <row r="60" ht="15" customHeight="1">
      <c r="A60" t="s" s="33">
        <v>39</v>
      </c>
      <c r="B60" s="35"/>
      <c r="C60" s="35"/>
      <c r="D60" s="35"/>
      <c r="E60" s="35"/>
      <c r="F60" s="35"/>
      <c r="G60" s="17">
        <v>415</v>
      </c>
      <c r="H60" s="35"/>
      <c r="I60" s="35"/>
      <c r="J60" s="35"/>
      <c r="K60" s="35"/>
      <c r="L60" s="35"/>
      <c r="M60" s="17">
        <v>548</v>
      </c>
      <c r="N60" s="36"/>
    </row>
    <row r="61" ht="15" customHeight="1">
      <c r="A61" t="s" s="33">
        <v>40</v>
      </c>
      <c r="B61" s="35"/>
      <c r="C61" s="121">
        <v>158</v>
      </c>
      <c r="D61" s="104">
        <v>226</v>
      </c>
      <c r="E61" s="104">
        <v>224</v>
      </c>
      <c r="F61" s="104">
        <v>224</v>
      </c>
      <c r="G61" s="122">
        <v>224</v>
      </c>
      <c r="H61" s="35"/>
      <c r="I61" s="35"/>
      <c r="J61" s="35"/>
      <c r="K61" s="35"/>
      <c r="L61" s="35"/>
      <c r="M61" s="17" cm="1">
        <f t="array" ref="M61">102*2</f>
        <v>204</v>
      </c>
      <c r="N61" s="36"/>
    </row>
    <row r="62" ht="15" customHeight="1">
      <c r="A62" t="s" s="33">
        <v>41</v>
      </c>
      <c r="B62" s="35"/>
      <c r="C62" s="35"/>
      <c r="D62" s="35"/>
      <c r="E62" s="35"/>
      <c r="F62" s="35"/>
      <c r="G62" s="17">
        <v>85</v>
      </c>
      <c r="H62" s="35"/>
      <c r="I62" s="35"/>
      <c r="J62" s="35"/>
      <c r="K62" s="35"/>
      <c r="L62" s="35"/>
      <c r="M62" s="17">
        <v>50</v>
      </c>
      <c r="N62" s="36"/>
    </row>
    <row r="63" ht="15" customHeight="1">
      <c r="A63" t="s" s="33">
        <v>42</v>
      </c>
      <c r="B63" s="39"/>
      <c r="C63" s="35"/>
      <c r="D63" s="35"/>
      <c r="E63" s="35"/>
      <c r="F63" s="35"/>
      <c r="G63" s="17">
        <v>171</v>
      </c>
      <c r="H63" s="35"/>
      <c r="I63" s="35"/>
      <c r="J63" s="35"/>
      <c r="K63" s="39"/>
      <c r="L63" s="39"/>
      <c r="M63" s="40">
        <v>165</v>
      </c>
      <c r="N63" s="36"/>
    </row>
    <row r="64" ht="15" customHeight="1">
      <c r="A64" t="s" s="33">
        <v>87</v>
      </c>
      <c r="B64" s="40">
        <v>45</v>
      </c>
      <c r="C64" s="17">
        <v>38</v>
      </c>
      <c r="D64" s="17">
        <v>25</v>
      </c>
      <c r="E64" s="17">
        <v>30</v>
      </c>
      <c r="F64" s="17">
        <v>35</v>
      </c>
      <c r="G64" s="17">
        <v>30</v>
      </c>
      <c r="H64" s="17">
        <v>35</v>
      </c>
      <c r="I64" s="17">
        <v>38</v>
      </c>
      <c r="J64" s="17">
        <v>30</v>
      </c>
      <c r="K64" s="40">
        <v>40</v>
      </c>
      <c r="L64" s="40">
        <v>30</v>
      </c>
      <c r="M64" s="40">
        <v>30</v>
      </c>
      <c r="N64" s="36"/>
    </row>
    <row r="65" ht="15" customHeight="1">
      <c r="A65" t="s" s="33">
        <v>88</v>
      </c>
      <c r="B65" s="39"/>
      <c r="C65" s="35"/>
      <c r="D65" s="17">
        <v>90</v>
      </c>
      <c r="E65" s="17">
        <v>86</v>
      </c>
      <c r="F65" s="17">
        <v>82</v>
      </c>
      <c r="G65" s="17">
        <v>78</v>
      </c>
      <c r="H65" s="17">
        <v>89</v>
      </c>
      <c r="I65" s="17">
        <v>74</v>
      </c>
      <c r="J65" s="17">
        <v>75</v>
      </c>
      <c r="K65" s="17">
        <v>81</v>
      </c>
      <c r="L65" s="17">
        <v>78</v>
      </c>
      <c r="M65" s="40">
        <v>78</v>
      </c>
      <c r="N65" s="36"/>
    </row>
    <row r="66" ht="15" customHeight="1">
      <c r="A66" t="s" s="33">
        <v>170</v>
      </c>
      <c r="B66" s="39"/>
      <c r="C66" s="35"/>
      <c r="D66" s="35"/>
      <c r="E66" s="35"/>
      <c r="F66" s="35"/>
      <c r="G66" s="17">
        <v>34</v>
      </c>
      <c r="H66" s="35"/>
      <c r="I66" s="35"/>
      <c r="J66" s="35"/>
      <c r="K66" s="35"/>
      <c r="L66" s="39"/>
      <c r="M66" s="40">
        <v>47</v>
      </c>
      <c r="N66" s="36"/>
    </row>
    <row r="67" ht="15" customHeight="1">
      <c r="A67" t="s" s="33">
        <v>125</v>
      </c>
      <c r="B67" s="39"/>
      <c r="C67" s="17">
        <v>75</v>
      </c>
      <c r="D67" s="35"/>
      <c r="E67" s="35"/>
      <c r="F67" s="35"/>
      <c r="G67" s="17">
        <v>140</v>
      </c>
      <c r="H67" s="35"/>
      <c r="I67" s="35"/>
      <c r="J67" s="35"/>
      <c r="K67" s="35"/>
      <c r="L67" s="39"/>
      <c r="M67" s="40">
        <v>148</v>
      </c>
      <c r="N67" s="36"/>
    </row>
    <row r="68" ht="15" customHeight="1">
      <c r="A68" t="s" s="33">
        <v>54</v>
      </c>
      <c r="B68" s="39"/>
      <c r="C68" s="35"/>
      <c r="D68" s="17">
        <v>98</v>
      </c>
      <c r="E68" s="35"/>
      <c r="F68" s="35"/>
      <c r="G68" s="35"/>
      <c r="H68" s="35"/>
      <c r="I68" s="35"/>
      <c r="J68" s="35"/>
      <c r="K68" s="35"/>
      <c r="L68" s="39"/>
      <c r="M68" s="39"/>
      <c r="N68" s="36"/>
    </row>
    <row r="69" ht="15" customHeight="1">
      <c r="A69" t="s" s="33">
        <v>22</v>
      </c>
      <c r="B69" s="17" cm="1">
        <f t="array" ref="B69">SUM(B60:B68)</f>
        <v>45</v>
      </c>
      <c r="C69" s="17" cm="1">
        <f t="array" ref="C69">SUM(C60:C68)</f>
        <v>271</v>
      </c>
      <c r="D69" s="17" cm="1">
        <f t="array" ref="D69">SUM(D60:D68)</f>
        <v>439</v>
      </c>
      <c r="E69" s="17" cm="1">
        <f t="array" ref="E69">SUM(E60:E68)</f>
        <v>340</v>
      </c>
      <c r="F69" s="17" cm="1">
        <f t="array" ref="F69">SUM(F60:F68)</f>
        <v>341</v>
      </c>
      <c r="G69" s="17" cm="1">
        <f t="array" ref="G69">SUM(G60:G68)</f>
        <v>1177</v>
      </c>
      <c r="H69" s="17" cm="1">
        <f t="array" ref="H69">SUM(H60:H68)</f>
        <v>124</v>
      </c>
      <c r="I69" s="17" cm="1">
        <f t="array" ref="I69">SUM(I60:I68)</f>
        <v>112</v>
      </c>
      <c r="J69" s="17" cm="1">
        <f t="array" ref="J69">SUM(J60:J68)</f>
        <v>105</v>
      </c>
      <c r="K69" s="17" cm="1">
        <f t="array" ref="K69">SUM(K60:K68)</f>
        <v>121</v>
      </c>
      <c r="L69" s="17" cm="1">
        <f t="array" ref="L69">SUM(L60:L68)</f>
        <v>108</v>
      </c>
      <c r="M69" s="17" cm="1">
        <f t="array" ref="M69">SUM(M60:M68)</f>
        <v>1270</v>
      </c>
      <c r="N69" s="36"/>
    </row>
    <row r="70" ht="15" customHeight="1">
      <c r="A70" s="37"/>
      <c r="B70" s="37"/>
      <c r="C70" s="41"/>
      <c r="D70" s="41"/>
      <c r="E70" s="41"/>
      <c r="F70" s="41"/>
      <c r="G70" s="37"/>
      <c r="H70" s="37"/>
      <c r="I70" s="37"/>
      <c r="J70" s="37"/>
      <c r="K70" s="37"/>
      <c r="L70" s="37"/>
      <c r="M70" s="37"/>
      <c r="N70" s="11"/>
    </row>
    <row r="71" ht="15" customHeight="1">
      <c r="A71" s="37"/>
      <c r="B71" s="123">
        <v>43466</v>
      </c>
      <c r="C71" s="123">
        <v>43132</v>
      </c>
      <c r="D71" s="123">
        <v>43160</v>
      </c>
      <c r="E71" s="123">
        <v>43191</v>
      </c>
      <c r="F71" s="123">
        <v>43221</v>
      </c>
      <c r="G71" s="123">
        <v>43252</v>
      </c>
      <c r="H71" s="123">
        <v>43282</v>
      </c>
      <c r="I71" s="124">
        <v>42948</v>
      </c>
      <c r="J71" s="123">
        <v>42979</v>
      </c>
      <c r="K71" s="123">
        <v>43009</v>
      </c>
      <c r="L71" s="123">
        <v>43405</v>
      </c>
      <c r="M71" s="123">
        <v>43435</v>
      </c>
      <c r="N71" s="11"/>
    </row>
    <row r="72" ht="15" customHeight="1">
      <c r="A72" t="s" s="87">
        <v>102</v>
      </c>
      <c r="B72" s="104" cm="1">
        <f t="array" ref="B72">B73+B74</f>
        <v>0</v>
      </c>
      <c r="C72" s="104" cm="1">
        <f t="array" ref="C72">C73+C74</f>
        <v>0</v>
      </c>
      <c r="D72" s="104" cm="1">
        <f t="array" ref="D72">D73+D74</f>
        <v>0</v>
      </c>
      <c r="E72" s="104" cm="1">
        <f t="array" ref="E72">E73+E74</f>
        <v>0</v>
      </c>
      <c r="F72" s="104" cm="1">
        <f t="array" ref="F72">F73+F74</f>
        <v>0</v>
      </c>
      <c r="G72" s="104" cm="1">
        <f t="array" ref="G72">G73+G74</f>
        <v>415</v>
      </c>
      <c r="H72" s="104" cm="1">
        <f t="array" ref="H72">H73+H74</f>
        <v>0</v>
      </c>
      <c r="I72" s="104" cm="1">
        <f t="array" ref="I72">I73+I74</f>
        <v>0</v>
      </c>
      <c r="J72" s="104" cm="1">
        <f t="array" ref="J72">J73+J74</f>
        <v>0</v>
      </c>
      <c r="K72" s="104" cm="1">
        <f t="array" ref="K72">K73+K74</f>
        <v>0</v>
      </c>
      <c r="L72" s="104" cm="1">
        <f t="array" ref="L72">L73+L74</f>
        <v>0</v>
      </c>
      <c r="M72" s="104" cm="1">
        <f t="array" ref="M72">M73+M74</f>
        <v>524</v>
      </c>
      <c r="N72" s="11"/>
    </row>
    <row r="73" ht="15" customHeight="1">
      <c r="A73" t="s" s="87">
        <v>157</v>
      </c>
      <c r="B73" s="41"/>
      <c r="C73" s="41"/>
      <c r="D73" s="41"/>
      <c r="E73" s="41"/>
      <c r="F73" s="41"/>
      <c r="G73" s="125">
        <v>91</v>
      </c>
      <c r="H73" s="80"/>
      <c r="I73" s="136"/>
      <c r="J73" s="30"/>
      <c r="K73" s="30"/>
      <c r="L73" s="30"/>
      <c r="M73" s="45">
        <v>134</v>
      </c>
      <c r="N73" s="11"/>
    </row>
    <row r="74" ht="15" customHeight="1">
      <c r="A74" t="s" s="87">
        <v>158</v>
      </c>
      <c r="B74" s="41"/>
      <c r="C74" s="41"/>
      <c r="D74" s="41"/>
      <c r="E74" s="41"/>
      <c r="F74" s="41"/>
      <c r="G74" s="103" cm="1">
        <f t="array" ref="G74">141+183</f>
        <v>324</v>
      </c>
      <c r="H74" s="30"/>
      <c r="I74" s="11"/>
      <c r="J74" s="63"/>
      <c r="K74" s="63"/>
      <c r="L74" s="11"/>
      <c r="M74" s="55" cm="1">
        <f t="array" ref="M74">159+231</f>
        <v>390</v>
      </c>
      <c r="N74" s="11"/>
    </row>
    <row r="75" ht="15" customHeight="1">
      <c r="A75" s="37"/>
      <c r="B75" s="41"/>
      <c r="C75" s="41"/>
      <c r="D75" s="41"/>
      <c r="E75" s="41"/>
      <c r="F75" s="41"/>
      <c r="G75" s="12"/>
      <c r="H75" s="11"/>
      <c r="I75" s="11"/>
      <c r="J75" s="63"/>
      <c r="K75" s="63"/>
      <c r="L75" s="11"/>
      <c r="M75" s="11"/>
      <c r="N75" s="11"/>
    </row>
    <row r="76" ht="15" customHeight="1">
      <c r="A76" t="s" s="87">
        <v>105</v>
      </c>
      <c r="B76" s="41"/>
      <c r="C76" s="41"/>
      <c r="D76" s="41"/>
      <c r="E76" s="41"/>
      <c r="F76" s="41"/>
      <c r="G76" s="12"/>
      <c r="H76" s="11"/>
      <c r="I76" s="11"/>
      <c r="J76" s="63"/>
      <c r="K76" s="63"/>
      <c r="L76" s="11"/>
      <c r="M76" s="11"/>
      <c r="N76" s="11"/>
    </row>
    <row r="77" ht="15" customHeight="1">
      <c r="A77" t="s" s="87">
        <v>157</v>
      </c>
      <c r="B77" s="41"/>
      <c r="C77" s="41"/>
      <c r="D77" s="41"/>
      <c r="E77" s="41"/>
      <c r="F77" s="41"/>
      <c r="G77" s="12"/>
      <c r="H77" s="11"/>
      <c r="I77" s="63"/>
      <c r="J77" s="63"/>
      <c r="K77" s="63"/>
      <c r="L77" s="11"/>
      <c r="M77" s="11"/>
      <c r="N77" s="11"/>
    </row>
    <row r="78" ht="15" customHeight="1">
      <c r="A78" t="s" s="87">
        <v>171</v>
      </c>
      <c r="B78" s="41"/>
      <c r="C78" s="41"/>
      <c r="D78" s="41"/>
      <c r="E78" s="41"/>
      <c r="F78" s="41"/>
      <c r="G78" s="12"/>
      <c r="H78" s="11"/>
      <c r="I78" s="11"/>
      <c r="J78" s="63"/>
      <c r="K78" s="63"/>
      <c r="L78" s="11"/>
      <c r="M78" s="11"/>
      <c r="N78" s="11"/>
    </row>
    <row r="79" ht="15" customHeight="1">
      <c r="A79" t="s" s="87">
        <v>160</v>
      </c>
      <c r="B79" s="41"/>
      <c r="C79" s="41"/>
      <c r="D79" s="41"/>
      <c r="E79" s="41"/>
      <c r="F79" s="41"/>
      <c r="G79" s="12"/>
      <c r="H79" s="11"/>
      <c r="I79" s="11"/>
      <c r="J79" s="63"/>
      <c r="K79" s="63"/>
      <c r="L79" s="11"/>
      <c r="M79" s="11"/>
      <c r="N79" s="11"/>
    </row>
    <row r="80" ht="15" customHeight="1">
      <c r="A80" s="37"/>
      <c r="B80" s="41"/>
      <c r="C80" s="41"/>
      <c r="D80" s="41"/>
      <c r="E80" s="41"/>
      <c r="F80" s="41"/>
      <c r="G80" s="13"/>
      <c r="H80" s="13"/>
      <c r="I80" s="13"/>
      <c r="J80" s="13"/>
      <c r="K80" s="13"/>
      <c r="L80" s="13"/>
      <c r="M80" s="13"/>
      <c r="N80" s="11"/>
    </row>
    <row r="81" ht="15" customHeight="1">
      <c r="A81" t="s" s="88">
        <v>108</v>
      </c>
      <c r="B81" t="s" s="14">
        <v>9</v>
      </c>
      <c r="C81" t="s" s="14">
        <v>10</v>
      </c>
      <c r="D81" t="s" s="14">
        <v>11</v>
      </c>
      <c r="E81" t="s" s="14">
        <v>12</v>
      </c>
      <c r="F81" t="s" s="14">
        <v>13</v>
      </c>
      <c r="G81" t="s" s="14">
        <v>14</v>
      </c>
      <c r="H81" t="s" s="14">
        <v>15</v>
      </c>
      <c r="I81" t="s" s="14">
        <v>16</v>
      </c>
      <c r="J81" t="s" s="14">
        <v>17</v>
      </c>
      <c r="K81" t="s" s="14">
        <v>18</v>
      </c>
      <c r="L81" t="s" s="14">
        <v>19</v>
      </c>
      <c r="M81" t="s" s="14">
        <v>20</v>
      </c>
      <c r="N81" s="36"/>
    </row>
    <row r="82" ht="15" customHeight="1">
      <c r="A82" t="s" s="33">
        <v>109</v>
      </c>
      <c r="B82" s="17">
        <v>19</v>
      </c>
      <c r="C82" s="17">
        <v>16</v>
      </c>
      <c r="D82" s="17">
        <v>26</v>
      </c>
      <c r="E82" s="17">
        <v>37</v>
      </c>
      <c r="F82" s="17">
        <v>24</v>
      </c>
      <c r="G82" s="17">
        <v>12</v>
      </c>
      <c r="H82" s="17">
        <v>18</v>
      </c>
      <c r="I82" s="17">
        <v>22</v>
      </c>
      <c r="J82" s="17">
        <v>27</v>
      </c>
      <c r="K82" s="17">
        <v>28</v>
      </c>
      <c r="L82" s="17">
        <v>22</v>
      </c>
      <c r="M82" s="17">
        <v>27</v>
      </c>
      <c r="N82" s="67" cm="1">
        <f t="array" ref="N82">SUM(B82:M82)</f>
        <v>278</v>
      </c>
    </row>
    <row r="83" ht="15" customHeight="1">
      <c r="A83" t="s" s="33">
        <v>110</v>
      </c>
      <c r="B83" s="17">
        <v>33</v>
      </c>
      <c r="C83" s="17">
        <v>32</v>
      </c>
      <c r="D83" s="17">
        <v>31</v>
      </c>
      <c r="E83" s="17">
        <v>36</v>
      </c>
      <c r="F83" s="17">
        <v>35</v>
      </c>
      <c r="G83" s="17">
        <v>28</v>
      </c>
      <c r="H83" s="17">
        <v>33</v>
      </c>
      <c r="I83" s="17">
        <v>27</v>
      </c>
      <c r="J83" s="17">
        <v>33</v>
      </c>
      <c r="K83" s="17">
        <v>31</v>
      </c>
      <c r="L83" s="17">
        <v>31</v>
      </c>
      <c r="M83" s="17">
        <v>30</v>
      </c>
      <c r="N83" s="67" cm="1">
        <f t="array" ref="N83">SUM(B83:M83)</f>
        <v>380</v>
      </c>
    </row>
    <row r="84" ht="15" customHeight="1">
      <c r="A84" s="37"/>
      <c r="B84" s="37"/>
      <c r="C84" s="41"/>
      <c r="D84" s="41"/>
      <c r="E84" s="41"/>
      <c r="F84" s="41"/>
      <c r="G84" s="37"/>
      <c r="H84" s="37"/>
      <c r="I84" s="37"/>
      <c r="J84" s="37"/>
      <c r="K84" s="37"/>
      <c r="L84" s="37"/>
      <c r="M84" s="37"/>
      <c r="N84" s="11"/>
    </row>
    <row r="85" ht="15" customHeight="1">
      <c r="A85" t="s" s="32">
        <v>28</v>
      </c>
      <c r="B85" t="s" s="14">
        <v>9</v>
      </c>
      <c r="C85" t="s" s="14">
        <v>10</v>
      </c>
      <c r="D85" t="s" s="14">
        <v>11</v>
      </c>
      <c r="E85" t="s" s="14">
        <v>12</v>
      </c>
      <c r="F85" t="s" s="14">
        <v>13</v>
      </c>
      <c r="G85" t="s" s="14">
        <v>14</v>
      </c>
      <c r="H85" t="s" s="14">
        <v>15</v>
      </c>
      <c r="I85" t="s" s="14">
        <v>16</v>
      </c>
      <c r="J85" t="s" s="14">
        <v>17</v>
      </c>
      <c r="K85" t="s" s="14">
        <v>18</v>
      </c>
      <c r="L85" t="s" s="14">
        <v>19</v>
      </c>
      <c r="M85" t="s" s="14">
        <v>20</v>
      </c>
      <c r="N85" s="36"/>
    </row>
    <row r="86" ht="15" customHeight="1">
      <c r="A86" t="s" s="42">
        <v>45</v>
      </c>
      <c r="B86" s="69" cm="1">
        <f t="array" ref="B86">B69/B41</f>
      </c>
      <c r="C86" s="69" cm="1">
        <f t="array" ref="C86">C69/C41</f>
      </c>
      <c r="D86" s="69" cm="1">
        <f t="array" ref="D86">D69/D41</f>
      </c>
      <c r="E86" s="69" cm="1">
        <f t="array" ref="E86">E69/E41</f>
      </c>
      <c r="F86" s="69" cm="1">
        <f t="array" ref="F86">F69/F41</f>
      </c>
      <c r="G86" s="69" cm="1">
        <f t="array" ref="G86">G69/G41</f>
      </c>
      <c r="H86" s="69" cm="1">
        <f t="array" ref="H86">H69/H41</f>
      </c>
      <c r="I86" s="89" cm="1">
        <f t="array" ref="I86">I69/I41</f>
      </c>
      <c r="J86" s="89" cm="1">
        <f t="array" ref="J86">J69/J41</f>
      </c>
      <c r="K86" s="30" cm="1">
        <f t="array" ref="K86">K69/K41</f>
      </c>
      <c r="L86" s="30" cm="1">
        <f t="array" ref="L86">L69/L41</f>
      </c>
      <c r="M86" s="30" cm="1">
        <f t="array" ref="M86">M69/M41</f>
      </c>
      <c r="N86" s="11"/>
    </row>
    <row r="87" ht="15" customHeight="1">
      <c r="A87" s="11"/>
      <c r="B87" s="11"/>
      <c r="C87" s="12"/>
      <c r="D87" s="12"/>
      <c r="E87" s="12"/>
      <c r="F87" s="12"/>
      <c r="G87" s="11"/>
      <c r="H87" s="11"/>
      <c r="I87" s="11"/>
      <c r="J87" s="11"/>
      <c r="K87" s="11"/>
      <c r="L87" s="11"/>
      <c r="M87" s="11"/>
      <c r="N87" s="11"/>
    </row>
    <row r="88" ht="15" customHeight="1">
      <c r="A88" s="13"/>
      <c r="B88" s="13"/>
      <c r="C88" s="44"/>
      <c r="D88" s="44"/>
      <c r="E88" s="44"/>
      <c r="F88" s="44"/>
      <c r="G88" s="13"/>
      <c r="H88" s="13"/>
      <c r="I88" s="13"/>
      <c r="J88" s="13"/>
      <c r="K88" s="13"/>
      <c r="L88" s="13"/>
      <c r="M88" s="13"/>
      <c r="N88" s="11"/>
    </row>
    <row r="89" ht="15" customHeight="1">
      <c r="A89" t="s" s="32">
        <v>46</v>
      </c>
      <c r="B89" t="s" s="14">
        <v>9</v>
      </c>
      <c r="C89" t="s" s="14">
        <v>10</v>
      </c>
      <c r="D89" t="s" s="14">
        <v>11</v>
      </c>
      <c r="E89" t="s" s="14">
        <v>12</v>
      </c>
      <c r="F89" t="s" s="14">
        <v>13</v>
      </c>
      <c r="G89" t="s" s="14">
        <v>14</v>
      </c>
      <c r="H89" t="s" s="14">
        <v>15</v>
      </c>
      <c r="I89" t="s" s="14">
        <v>16</v>
      </c>
      <c r="J89" t="s" s="14">
        <v>17</v>
      </c>
      <c r="K89" t="s" s="14">
        <v>18</v>
      </c>
      <c r="L89" t="s" s="14">
        <v>19</v>
      </c>
      <c r="M89" t="s" s="14">
        <v>20</v>
      </c>
      <c r="N89" s="36"/>
    </row>
    <row r="90" ht="15" customHeight="1">
      <c r="A90" t="s" s="42">
        <v>47</v>
      </c>
      <c r="B90" s="89"/>
      <c r="C90" s="89"/>
      <c r="D90" s="89"/>
      <c r="E90" s="89"/>
      <c r="F90" s="89"/>
      <c r="G90" s="89"/>
      <c r="H90" s="30"/>
      <c r="I90" s="30"/>
      <c r="J90" s="30"/>
      <c r="K90" s="30"/>
      <c r="L90" s="30"/>
      <c r="M90" s="45" cm="1">
        <f t="array" ref="M90">83+20</f>
        <v>103</v>
      </c>
      <c r="N90" s="11"/>
    </row>
    <row r="91" ht="15" customHeight="1">
      <c r="A91" t="s" s="54">
        <v>48</v>
      </c>
      <c r="B91" s="12"/>
      <c r="C91" s="12"/>
      <c r="D91" s="12"/>
      <c r="E91" s="12"/>
      <c r="F91" s="12"/>
      <c r="G91" s="103">
        <v>63</v>
      </c>
      <c r="H91" s="11"/>
      <c r="I91" s="11"/>
      <c r="J91" s="11"/>
      <c r="K91" s="11"/>
      <c r="L91" s="11"/>
      <c r="M91" s="55">
        <v>63</v>
      </c>
      <c r="N91" s="11"/>
    </row>
    <row r="92" ht="15" customHeight="1">
      <c r="A92" t="s" s="54">
        <v>49</v>
      </c>
      <c r="B92" s="12"/>
      <c r="C92" s="12"/>
      <c r="D92" s="12"/>
      <c r="E92" s="12"/>
      <c r="F92" s="12"/>
      <c r="G92" s="103">
        <v>21</v>
      </c>
      <c r="H92" s="55">
        <v>22</v>
      </c>
      <c r="I92" s="55">
        <v>22</v>
      </c>
      <c r="J92" s="55">
        <v>22</v>
      </c>
      <c r="K92" s="55">
        <v>21</v>
      </c>
      <c r="L92" s="55">
        <v>21</v>
      </c>
      <c r="M92" s="55">
        <v>21</v>
      </c>
      <c r="N92" s="11"/>
    </row>
    <row r="93" ht="15" customHeight="1">
      <c r="A93" t="s" s="54">
        <v>50</v>
      </c>
      <c r="B93" s="12"/>
      <c r="C93" s="12"/>
      <c r="D93" s="12"/>
      <c r="E93" s="12"/>
      <c r="F93" s="12"/>
      <c r="G93" s="103">
        <v>28</v>
      </c>
      <c r="H93" s="11"/>
      <c r="I93" s="11"/>
      <c r="J93" s="11"/>
      <c r="K93" s="11"/>
      <c r="L93" s="11"/>
      <c r="M93" s="55">
        <v>27</v>
      </c>
      <c r="N93" s="11"/>
    </row>
    <row r="94" ht="15" customHeight="1">
      <c r="A94" t="s" s="54">
        <v>33</v>
      </c>
      <c r="B94" s="12"/>
      <c r="C94" s="12"/>
      <c r="D94" s="12"/>
      <c r="E94" s="12"/>
      <c r="F94" s="12"/>
      <c r="G94" s="12"/>
      <c r="H94" s="11"/>
      <c r="I94" s="11"/>
      <c r="J94" s="11"/>
      <c r="K94" s="11"/>
      <c r="L94" s="11"/>
      <c r="M94" s="55" cm="1">
        <f t="array" ref="M94">105</f>
        <v>105</v>
      </c>
      <c r="N94" s="11"/>
    </row>
    <row r="95" ht="15" customHeight="1">
      <c r="A95" t="s" s="54">
        <v>54</v>
      </c>
      <c r="B95" s="12"/>
      <c r="C95" s="12"/>
      <c r="D95" s="12"/>
      <c r="E95" s="12"/>
      <c r="F95" s="12"/>
      <c r="G95" s="103">
        <v>40</v>
      </c>
      <c r="H95" s="11"/>
      <c r="I95" s="11"/>
      <c r="J95" s="11"/>
      <c r="K95" s="11"/>
      <c r="L95" s="11"/>
      <c r="M95" s="55">
        <v>43</v>
      </c>
      <c r="N95" s="11"/>
    </row>
    <row r="96" ht="15" customHeight="1">
      <c r="A96" t="s" s="54">
        <v>89</v>
      </c>
      <c r="B96" s="12"/>
      <c r="C96" s="12"/>
      <c r="D96" s="12"/>
      <c r="E96" s="12"/>
      <c r="F96" s="12"/>
      <c r="G96" s="12"/>
      <c r="H96" s="11"/>
      <c r="I96" s="11"/>
      <c r="J96" s="11"/>
      <c r="K96" s="11"/>
      <c r="L96" s="11"/>
      <c r="M96" s="11"/>
      <c r="N96" s="11"/>
    </row>
    <row r="97" ht="15" customHeight="1">
      <c r="A97" t="s" s="54">
        <v>51</v>
      </c>
      <c r="B97" s="12"/>
      <c r="C97" s="12"/>
      <c r="D97" s="12"/>
      <c r="E97" s="12"/>
      <c r="F97" s="12"/>
      <c r="G97" s="103">
        <v>55</v>
      </c>
      <c r="H97" s="11"/>
      <c r="I97" s="11"/>
      <c r="J97" s="11"/>
      <c r="K97" s="11"/>
      <c r="L97" s="11"/>
      <c r="M97" s="55">
        <v>58</v>
      </c>
      <c r="N97" s="11"/>
    </row>
    <row r="98" ht="15" customHeight="1">
      <c r="A98" t="s" s="54">
        <v>41</v>
      </c>
      <c r="B98" s="12"/>
      <c r="C98" s="12"/>
      <c r="D98" s="12"/>
      <c r="E98" s="12"/>
      <c r="F98" s="12"/>
      <c r="G98" s="103">
        <v>13</v>
      </c>
      <c r="H98" s="11"/>
      <c r="I98" s="11"/>
      <c r="J98" s="11"/>
      <c r="K98" s="11"/>
      <c r="L98" s="11"/>
      <c r="M98" s="55">
        <v>13</v>
      </c>
      <c r="N98" s="11"/>
    </row>
    <row r="99" ht="15" customHeight="1">
      <c r="A99" t="s" s="54">
        <v>40</v>
      </c>
      <c r="B99" s="12"/>
      <c r="C99" s="12"/>
      <c r="D99" s="12"/>
      <c r="E99" s="12"/>
      <c r="F99" s="12"/>
      <c r="G99" s="103">
        <v>56</v>
      </c>
      <c r="H99" s="11"/>
      <c r="I99" s="11"/>
      <c r="J99" s="11"/>
      <c r="K99" s="11"/>
      <c r="L99" s="11"/>
      <c r="M99" s="55">
        <v>56</v>
      </c>
      <c r="N99" s="11"/>
    </row>
    <row r="100" ht="15" customHeight="1">
      <c r="A100" t="s" s="54">
        <v>52</v>
      </c>
      <c r="B100" s="12"/>
      <c r="C100" s="12"/>
      <c r="D100" s="12"/>
      <c r="E100" s="12"/>
      <c r="F100" s="12"/>
      <c r="G100" s="103">
        <v>127</v>
      </c>
      <c r="H100" s="11"/>
      <c r="I100" s="11"/>
      <c r="J100" s="11"/>
      <c r="K100" s="11"/>
      <c r="L100" s="11"/>
      <c r="M100" s="55">
        <v>177</v>
      </c>
      <c r="N100" s="11"/>
    </row>
    <row r="101" ht="15" customHeight="1">
      <c r="A101" t="s" s="54">
        <v>170</v>
      </c>
      <c r="B101" s="12"/>
      <c r="C101" s="12"/>
      <c r="D101" s="12"/>
      <c r="E101" s="12"/>
      <c r="F101" s="12"/>
      <c r="G101" s="103">
        <v>24</v>
      </c>
      <c r="H101" s="11"/>
      <c r="I101" s="11"/>
      <c r="J101" s="11"/>
      <c r="K101" s="11"/>
      <c r="L101" s="11"/>
      <c r="M101" s="55">
        <v>24</v>
      </c>
      <c r="N101" s="11"/>
    </row>
    <row r="102" ht="15" customHeight="1">
      <c r="A102" t="s" s="54">
        <v>90</v>
      </c>
      <c r="B102" s="12"/>
      <c r="C102" s="12"/>
      <c r="D102" s="12"/>
      <c r="E102" s="12"/>
      <c r="F102" s="12"/>
      <c r="G102" s="103">
        <v>20</v>
      </c>
      <c r="H102" s="11"/>
      <c r="I102" s="11"/>
      <c r="J102" s="11"/>
      <c r="K102" s="11"/>
      <c r="L102" s="11"/>
      <c r="M102" s="55">
        <v>20</v>
      </c>
      <c r="N102" s="11"/>
    </row>
    <row r="103" ht="15" customHeight="1">
      <c r="A103" t="s" s="54">
        <v>88</v>
      </c>
      <c r="B103" s="12"/>
      <c r="C103" s="12"/>
      <c r="D103" s="12"/>
      <c r="E103" s="12"/>
      <c r="F103" s="12"/>
      <c r="G103" s="103">
        <v>10</v>
      </c>
      <c r="H103" s="11"/>
      <c r="I103" s="11"/>
      <c r="J103" s="11"/>
      <c r="K103" s="11"/>
      <c r="L103" s="11"/>
      <c r="M103" s="55">
        <v>10</v>
      </c>
      <c r="N103" s="11"/>
    </row>
    <row r="104" ht="15" customHeight="1">
      <c r="A104" t="s" s="54">
        <v>111</v>
      </c>
      <c r="B104" s="12"/>
      <c r="C104" s="12"/>
      <c r="D104" s="12"/>
      <c r="E104" s="12"/>
      <c r="F104" s="12"/>
      <c r="G104" s="103">
        <v>12</v>
      </c>
      <c r="H104" s="55">
        <v>12</v>
      </c>
      <c r="I104" s="55">
        <v>13</v>
      </c>
      <c r="J104" s="55">
        <v>13</v>
      </c>
      <c r="K104" s="55">
        <v>13</v>
      </c>
      <c r="L104" s="55">
        <v>13</v>
      </c>
      <c r="M104" s="55">
        <v>15</v>
      </c>
      <c r="N104" s="11"/>
    </row>
    <row r="105" ht="15" customHeight="1">
      <c r="A105" t="s" s="54">
        <v>112</v>
      </c>
      <c r="B105" s="12"/>
      <c r="C105" s="12"/>
      <c r="D105" s="12"/>
      <c r="E105" s="12"/>
      <c r="F105" s="12"/>
      <c r="G105" s="12"/>
      <c r="H105" s="11"/>
      <c r="I105" s="11"/>
      <c r="J105" s="11"/>
      <c r="K105" s="11"/>
      <c r="L105" s="11"/>
      <c r="M105" s="55">
        <v>30</v>
      </c>
      <c r="N105" s="11"/>
    </row>
    <row r="106" ht="15" customHeight="1">
      <c r="A106" t="s" s="54">
        <v>127</v>
      </c>
      <c r="B106" s="12"/>
      <c r="C106" s="12"/>
      <c r="D106" s="12"/>
      <c r="E106" s="12"/>
      <c r="F106" s="12"/>
      <c r="G106" s="103">
        <v>20</v>
      </c>
      <c r="H106" s="11"/>
      <c r="I106" s="11"/>
      <c r="J106" s="11"/>
      <c r="K106" s="11"/>
      <c r="L106" s="11"/>
      <c r="M106" s="55">
        <v>20</v>
      </c>
      <c r="N106" s="11"/>
    </row>
    <row r="107" ht="15" customHeight="1">
      <c r="A107" t="s" s="54">
        <v>125</v>
      </c>
      <c r="B107" s="12"/>
      <c r="C107" s="12"/>
      <c r="D107" s="12"/>
      <c r="E107" s="12"/>
      <c r="F107" s="12"/>
      <c r="G107" s="103">
        <v>12</v>
      </c>
      <c r="H107" s="11"/>
      <c r="I107" s="11"/>
      <c r="J107" s="11"/>
      <c r="K107" s="11"/>
      <c r="L107" s="11"/>
      <c r="M107" s="55">
        <v>15</v>
      </c>
      <c r="N107" s="11"/>
    </row>
    <row r="108" ht="15" customHeight="1">
      <c r="A108" t="s" s="54">
        <v>113</v>
      </c>
      <c r="B108" s="12"/>
      <c r="C108" s="12"/>
      <c r="D108" s="12"/>
      <c r="E108" s="12"/>
      <c r="F108" s="12"/>
      <c r="G108" s="103">
        <v>36</v>
      </c>
      <c r="H108" s="11"/>
      <c r="I108" s="11"/>
      <c r="J108" s="11"/>
      <c r="K108" s="11"/>
      <c r="L108" s="11"/>
      <c r="M108" s="55">
        <v>36</v>
      </c>
      <c r="N108" s="11"/>
    </row>
    <row r="109" ht="15" customHeight="1">
      <c r="A109" t="s" s="54">
        <v>22</v>
      </c>
      <c r="B109" s="103" cm="1">
        <f t="array" ref="B109">SUM(B90:B108)</f>
        <v>0</v>
      </c>
      <c r="C109" s="103" cm="1">
        <f t="array" ref="C109">SUM(C90:C108)</f>
        <v>0</v>
      </c>
      <c r="D109" s="103" cm="1">
        <f t="array" ref="D109">SUM(D90:D108)</f>
        <v>0</v>
      </c>
      <c r="E109" s="103" cm="1">
        <f t="array" ref="E109">SUM(E90:E108)</f>
        <v>0</v>
      </c>
      <c r="F109" s="103" cm="1">
        <f t="array" ref="F109">SUM(F90:F108)</f>
        <v>0</v>
      </c>
      <c r="G109" s="103" cm="1">
        <f t="array" ref="G109">SUM(G90:G108)</f>
        <v>537</v>
      </c>
      <c r="H109" s="55" cm="1">
        <f t="array" ref="H109">SUM(H90:H108)</f>
        <v>34</v>
      </c>
      <c r="I109" s="55" cm="1">
        <f t="array" ref="I109">SUM(I90:I108)</f>
        <v>35</v>
      </c>
      <c r="J109" s="55" cm="1">
        <f t="array" ref="J109">SUM(J90:J108)</f>
        <v>35</v>
      </c>
      <c r="K109" s="55" cm="1">
        <f t="array" ref="K109">SUM(K90:K108)</f>
        <v>34</v>
      </c>
      <c r="L109" s="55" cm="1">
        <f t="array" ref="L109">SUM(L90:L108)</f>
        <v>34</v>
      </c>
      <c r="M109" s="55" cm="1">
        <f t="array" ref="M109">SUM(M90:M108)</f>
        <v>836</v>
      </c>
      <c r="N109" s="11"/>
    </row>
    <row r="110" ht="15" customHeight="1">
      <c r="A110" s="13"/>
      <c r="B110" s="13"/>
      <c r="C110" s="13"/>
      <c r="D110" s="13"/>
      <c r="E110" s="13"/>
      <c r="F110" s="13"/>
      <c r="G110" s="13"/>
      <c r="H110" s="13"/>
      <c r="I110" s="13"/>
      <c r="J110" s="13"/>
      <c r="K110" s="13"/>
      <c r="L110" s="13"/>
      <c r="M110" s="13"/>
      <c r="N110" s="11"/>
    </row>
    <row r="111" ht="15" customHeight="1">
      <c r="A111" t="s" s="32">
        <v>28</v>
      </c>
      <c r="B111" t="s" s="14">
        <v>9</v>
      </c>
      <c r="C111" t="s" s="14">
        <v>10</v>
      </c>
      <c r="D111" t="s" s="14">
        <v>11</v>
      </c>
      <c r="E111" t="s" s="14">
        <v>12</v>
      </c>
      <c r="F111" t="s" s="14">
        <v>13</v>
      </c>
      <c r="G111" t="s" s="14">
        <v>14</v>
      </c>
      <c r="H111" t="s" s="14">
        <v>15</v>
      </c>
      <c r="I111" t="s" s="14">
        <v>16</v>
      </c>
      <c r="J111" t="s" s="14">
        <v>17</v>
      </c>
      <c r="K111" t="s" s="14">
        <v>18</v>
      </c>
      <c r="L111" t="s" s="14">
        <v>19</v>
      </c>
      <c r="M111" t="s" s="14">
        <v>20</v>
      </c>
      <c r="N111" s="36"/>
    </row>
    <row r="112" ht="15" customHeight="1">
      <c r="A112" t="s" s="42">
        <v>56</v>
      </c>
      <c r="B112" s="23" cm="1">
        <f t="array" ref="B112">B10</f>
        <v>188040283</v>
      </c>
      <c r="C112" s="23" cm="1">
        <f t="array" ref="C112">C10</f>
        <v>188211015</v>
      </c>
      <c r="D112" s="23" cm="1">
        <f t="array" ref="D112">D10</f>
        <v>180559681</v>
      </c>
      <c r="E112" s="23" cm="1">
        <f t="array" ref="E112">E10</f>
        <v>123624940</v>
      </c>
      <c r="F112" s="23" cm="1">
        <f t="array" ref="F112">F10</f>
        <v>346680140</v>
      </c>
      <c r="G112" s="23" cm="1">
        <f t="array" ref="G112">G10</f>
        <v>187307512</v>
      </c>
      <c r="H112" s="23" cm="1">
        <f t="array" ref="H112">H10</f>
        <v>208888802</v>
      </c>
      <c r="I112" s="23" cm="1">
        <f t="array" ref="I112">I10</f>
        <v>291429386</v>
      </c>
      <c r="J112" s="23" cm="1">
        <f t="array" ref="J112">J10</f>
        <v>194181040</v>
      </c>
      <c r="K112" s="23" cm="1">
        <f t="array" ref="K112">K10</f>
        <v>213637727</v>
      </c>
      <c r="L112" s="23" cm="1">
        <f t="array" ref="L112">L10</f>
        <v>278883630</v>
      </c>
      <c r="M112" s="23" cm="1">
        <f t="array" ref="M112">M10</f>
        <v>302794279</v>
      </c>
      <c r="N112" s="11"/>
    </row>
    <row r="113" ht="15" customHeight="1">
      <c r="A113" s="11"/>
      <c r="B113" s="11"/>
      <c r="C113" s="11"/>
      <c r="D113" s="11"/>
      <c r="E113" s="11"/>
      <c r="F113" s="11"/>
      <c r="G113" s="11"/>
      <c r="H113" s="11"/>
      <c r="I113" s="11"/>
      <c r="J113" s="11"/>
      <c r="K113" s="11"/>
      <c r="L113" s="11"/>
      <c r="M113" s="11"/>
      <c r="N113" s="11"/>
    </row>
    <row r="114" ht="15" customHeight="1">
      <c r="A114" s="11"/>
      <c r="B114" s="11"/>
      <c r="C114" s="11"/>
      <c r="D114" s="11"/>
      <c r="E114" s="11"/>
      <c r="F114" s="11"/>
      <c r="G114" s="11"/>
      <c r="H114" s="11"/>
      <c r="I114" s="11"/>
      <c r="J114" s="11"/>
      <c r="K114" s="11"/>
      <c r="L114" s="11"/>
      <c r="M114" s="11"/>
      <c r="N114" s="11"/>
    </row>
    <row r="115" ht="15" customHeight="1">
      <c r="A115" s="11"/>
      <c r="B115" s="11"/>
      <c r="C115" s="11"/>
      <c r="D115" s="11"/>
      <c r="E115" s="11"/>
      <c r="F115" s="11"/>
      <c r="G115" s="11"/>
      <c r="H115" s="11"/>
      <c r="I115" s="11"/>
      <c r="J115" s="11"/>
      <c r="K115" s="11"/>
      <c r="L115" s="11"/>
      <c r="M115" s="11"/>
      <c r="N115" s="11"/>
    </row>
    <row r="116" ht="15" customHeight="1">
      <c r="A116" t="s" s="54">
        <v>161</v>
      </c>
      <c r="B116" s="11"/>
      <c r="C116" s="11"/>
      <c r="D116" s="11"/>
      <c r="E116" s="11"/>
      <c r="F116" s="11"/>
      <c r="G116" s="11"/>
      <c r="H116" s="11"/>
      <c r="I116" s="11"/>
      <c r="J116" s="11"/>
      <c r="K116" s="11"/>
      <c r="L116" s="11"/>
      <c r="M116" s="11"/>
      <c r="N116" s="11"/>
    </row>
    <row r="117" ht="15" customHeight="1">
      <c r="A117" s="11"/>
      <c r="B117" s="11"/>
      <c r="C117" s="11"/>
      <c r="D117" s="11"/>
      <c r="E117" s="11"/>
      <c r="F117" s="11"/>
      <c r="G117" s="11"/>
      <c r="H117" s="11"/>
      <c r="I117" s="11"/>
      <c r="J117" s="11"/>
      <c r="K117" s="11"/>
      <c r="L117" s="11"/>
      <c r="M117" s="11"/>
      <c r="N117" s="11"/>
    </row>
    <row r="118" ht="15" customHeight="1">
      <c r="A118" s="11"/>
      <c r="B118" s="11"/>
      <c r="C118" s="11"/>
      <c r="D118" s="11"/>
      <c r="E118" s="11"/>
      <c r="F118" s="11"/>
      <c r="G118" s="11"/>
      <c r="H118" s="11"/>
      <c r="I118" s="11"/>
      <c r="J118" s="11"/>
      <c r="K118" s="11"/>
      <c r="L118" s="11"/>
      <c r="M118" s="11"/>
      <c r="N118" s="11"/>
    </row>
    <row r="119" ht="15" customHeight="1">
      <c r="A119" s="11"/>
      <c r="B119" s="11"/>
      <c r="C119" s="11"/>
      <c r="D119" s="11"/>
      <c r="E119" s="11"/>
      <c r="F119" s="11"/>
      <c r="G119" s="11"/>
      <c r="H119" s="11"/>
      <c r="I119" s="11"/>
      <c r="J119" s="11"/>
      <c r="K119" s="11"/>
      <c r="L119" s="11"/>
      <c r="M119" s="11"/>
      <c r="N119" s="11"/>
    </row>
    <row r="120" ht="15" customHeight="1">
      <c r="A120" s="16"/>
      <c r="B120" s="16"/>
      <c r="C120" s="16"/>
      <c r="D120" s="11"/>
      <c r="E120" s="11"/>
      <c r="F120" s="28"/>
      <c r="G120" s="11"/>
      <c r="H120" s="11"/>
      <c r="I120" s="11"/>
      <c r="J120" s="11"/>
      <c r="K120" s="11"/>
      <c r="L120" s="11"/>
      <c r="M120" s="11"/>
      <c r="N120" s="11"/>
    </row>
    <row r="121" ht="15" customHeight="1">
      <c r="A121" s="12"/>
      <c r="B121" s="12"/>
      <c r="C121" s="12"/>
      <c r="D121" s="11"/>
      <c r="E121" s="11"/>
      <c r="F121" s="28"/>
      <c r="G121" s="11"/>
      <c r="H121" s="11"/>
      <c r="I121" s="11"/>
      <c r="J121" s="11"/>
      <c r="K121" s="11"/>
      <c r="L121" s="11"/>
      <c r="M121" s="11"/>
      <c r="N121" s="11"/>
    </row>
    <row r="122" ht="15" customHeight="1">
      <c r="A122" s="12"/>
      <c r="B122" s="12"/>
      <c r="C122" s="12"/>
      <c r="D122" s="11"/>
      <c r="E122" s="11"/>
      <c r="F122" s="28"/>
      <c r="G122" s="11"/>
      <c r="H122" s="11"/>
      <c r="I122" s="11"/>
      <c r="J122" s="11"/>
      <c r="K122" s="11"/>
      <c r="L122" s="11"/>
      <c r="M122" s="11"/>
      <c r="N122" s="11"/>
    </row>
    <row r="123" ht="15" customHeight="1">
      <c r="A123" s="12"/>
      <c r="B123" s="12"/>
      <c r="C123" s="12"/>
      <c r="D123" s="11"/>
      <c r="E123" s="11"/>
      <c r="F123" s="28"/>
      <c r="G123" s="11"/>
      <c r="H123" s="11"/>
      <c r="I123" s="11"/>
      <c r="J123" s="11"/>
      <c r="K123" s="11"/>
      <c r="L123" s="11"/>
      <c r="M123" s="11"/>
      <c r="N123" s="11"/>
    </row>
    <row r="124" ht="15" customHeight="1">
      <c r="A124" s="12"/>
      <c r="B124" s="12"/>
      <c r="C124" s="12"/>
      <c r="D124" s="11"/>
      <c r="E124" s="11"/>
      <c r="F124" s="28"/>
      <c r="G124" s="11"/>
      <c r="H124" s="11"/>
      <c r="I124" s="11"/>
      <c r="J124" s="11"/>
      <c r="K124" s="11"/>
      <c r="L124" s="11"/>
      <c r="M124" s="11"/>
      <c r="N124" s="11"/>
    </row>
    <row r="125" ht="15" customHeight="1">
      <c r="A125" s="12"/>
      <c r="B125" s="12"/>
      <c r="C125" s="12"/>
      <c r="D125" s="11"/>
      <c r="E125" s="11"/>
      <c r="F125" s="28"/>
      <c r="G125" s="11"/>
      <c r="H125" s="11"/>
      <c r="I125" s="11"/>
      <c r="J125" s="11"/>
      <c r="K125" s="11"/>
      <c r="L125" s="11"/>
      <c r="M125" s="11"/>
      <c r="N125" s="11"/>
    </row>
    <row r="126" ht="15" customHeight="1">
      <c r="A126" s="12"/>
      <c r="B126" s="12"/>
      <c r="C126" s="12"/>
      <c r="D126" s="11"/>
      <c r="E126" s="11"/>
      <c r="F126" s="11"/>
      <c r="G126" s="11"/>
      <c r="H126" s="11"/>
      <c r="I126" s="11"/>
      <c r="J126" s="11"/>
      <c r="K126" s="11"/>
      <c r="L126" s="11"/>
      <c r="M126" s="11"/>
      <c r="N126" s="11"/>
    </row>
    <row r="127" ht="15" customHeight="1">
      <c r="A127" s="12"/>
      <c r="B127" s="12"/>
      <c r="C127" s="12"/>
      <c r="D127" s="11"/>
      <c r="E127" s="11"/>
      <c r="F127" s="11"/>
      <c r="G127" s="11"/>
      <c r="H127" s="11"/>
      <c r="I127" s="11"/>
      <c r="J127" s="11"/>
      <c r="K127" s="11"/>
      <c r="L127" s="11"/>
      <c r="M127" s="11"/>
      <c r="N127" s="11"/>
    </row>
    <row r="128" ht="15" customHeight="1">
      <c r="A128" s="11"/>
      <c r="B128" s="11"/>
      <c r="C128" s="11"/>
      <c r="D128" s="11"/>
      <c r="E128" s="11"/>
      <c r="F128" s="28"/>
      <c r="G128" s="11"/>
      <c r="H128" s="11"/>
      <c r="I128" s="11"/>
      <c r="J128" s="11"/>
      <c r="K128" s="11"/>
      <c r="L128" s="11"/>
      <c r="M128" s="11"/>
      <c r="N128" s="11"/>
    </row>
    <row r="129" ht="15" customHeight="1">
      <c r="A129" s="16"/>
      <c r="B129" s="16"/>
      <c r="C129" s="16"/>
      <c r="D129" s="11"/>
      <c r="E129" s="11"/>
      <c r="F129" s="11"/>
      <c r="G129" s="11"/>
      <c r="H129" s="11"/>
      <c r="I129" s="11"/>
      <c r="J129" s="11"/>
      <c r="K129" s="11"/>
      <c r="L129" s="11"/>
      <c r="M129" s="11"/>
      <c r="N129" s="11"/>
    </row>
    <row r="130" ht="15" customHeight="1">
      <c r="A130" s="12"/>
      <c r="B130" s="12"/>
      <c r="C130" s="113"/>
      <c r="D130" s="11"/>
      <c r="E130" s="11"/>
      <c r="F130" s="11"/>
      <c r="G130" s="11"/>
      <c r="H130" s="11"/>
      <c r="I130" s="11"/>
      <c r="J130" s="11"/>
      <c r="K130" s="11"/>
      <c r="L130" s="11"/>
      <c r="M130" s="11"/>
      <c r="N130" s="11"/>
    </row>
    <row r="131" ht="15" customHeight="1">
      <c r="A131" s="12"/>
      <c r="B131" s="12"/>
      <c r="C131" s="113"/>
      <c r="D131" s="11"/>
      <c r="E131" s="11"/>
      <c r="F131" s="11"/>
      <c r="G131" s="11"/>
      <c r="H131" s="11"/>
      <c r="I131" s="11"/>
      <c r="J131" s="11"/>
      <c r="K131" s="11"/>
      <c r="L131" s="11"/>
      <c r="M131" s="11"/>
      <c r="N131" s="11"/>
    </row>
    <row r="132" ht="15" customHeight="1">
      <c r="A132" s="11"/>
      <c r="B132" s="12"/>
      <c r="C132" s="11"/>
      <c r="D132" s="11"/>
      <c r="E132" s="11"/>
      <c r="F132" s="11"/>
      <c r="G132" s="11"/>
      <c r="H132" s="11"/>
      <c r="I132" s="11"/>
      <c r="J132" s="11"/>
      <c r="K132" s="11"/>
      <c r="L132" s="11"/>
      <c r="M132" s="11"/>
      <c r="N132" s="11"/>
    </row>
    <row r="133" ht="15" customHeight="1">
      <c r="A133" s="11"/>
      <c r="B133" s="11"/>
      <c r="C133" s="11"/>
      <c r="D133" s="11"/>
      <c r="E133" s="11"/>
      <c r="F133" s="11"/>
      <c r="G133" s="11"/>
      <c r="H133" s="11"/>
      <c r="I133" s="11"/>
      <c r="J133" s="11"/>
      <c r="K133" s="11"/>
      <c r="L133" s="11"/>
      <c r="M133" s="11"/>
      <c r="N133" s="11"/>
    </row>
    <row r="134" ht="15" customHeight="1">
      <c r="A134" s="16"/>
      <c r="B134" s="16"/>
      <c r="C134" s="16"/>
      <c r="D134" s="11"/>
      <c r="E134" s="11"/>
      <c r="F134" s="11"/>
      <c r="G134" s="11"/>
      <c r="H134" s="11"/>
      <c r="I134" s="11"/>
      <c r="J134" s="11"/>
      <c r="K134" s="11"/>
      <c r="L134" s="11"/>
      <c r="M134" s="11"/>
      <c r="N134" s="11"/>
    </row>
    <row r="135" ht="15" customHeight="1">
      <c r="A135" s="12"/>
      <c r="B135" s="12"/>
      <c r="C135" s="113"/>
      <c r="D135" s="11"/>
      <c r="E135" s="11"/>
      <c r="F135" s="11"/>
      <c r="G135" s="11"/>
      <c r="H135" s="11"/>
      <c r="I135" s="11"/>
      <c r="J135" s="11"/>
      <c r="K135" s="11"/>
      <c r="L135" s="11"/>
      <c r="M135" s="11"/>
      <c r="N135" s="11"/>
    </row>
    <row r="136" ht="15" customHeight="1">
      <c r="A136" s="12"/>
      <c r="B136" s="12"/>
      <c r="C136" s="113"/>
      <c r="D136" s="11"/>
      <c r="E136" s="11"/>
      <c r="F136" s="11"/>
      <c r="G136" s="11"/>
      <c r="H136" s="11"/>
      <c r="I136" s="11"/>
      <c r="J136" s="11"/>
      <c r="K136" s="11"/>
      <c r="L136" s="11"/>
      <c r="M136" s="11"/>
      <c r="N136" s="11"/>
    </row>
    <row r="137" ht="15" customHeight="1">
      <c r="A137" s="12"/>
      <c r="B137" s="12"/>
      <c r="C137" s="11"/>
      <c r="D137" s="11"/>
      <c r="E137" s="11"/>
      <c r="F137" s="11"/>
      <c r="G137" s="11"/>
      <c r="H137" s="11"/>
      <c r="I137" s="11"/>
      <c r="J137" s="11"/>
      <c r="K137" s="11"/>
      <c r="L137" s="11"/>
      <c r="M137" s="11"/>
      <c r="N137" s="11"/>
    </row>
    <row r="138" ht="15" customHeight="1">
      <c r="A138" s="11"/>
      <c r="B138" s="11"/>
      <c r="C138" s="11"/>
      <c r="D138" s="11"/>
      <c r="E138" s="11"/>
      <c r="F138" s="11"/>
      <c r="G138" s="11"/>
      <c r="H138" s="11"/>
      <c r="I138" s="11"/>
      <c r="J138" s="11"/>
      <c r="K138" s="11"/>
      <c r="L138" s="11"/>
      <c r="M138" s="11"/>
      <c r="N138" s="11"/>
    </row>
    <row r="139" ht="15" customHeight="1">
      <c r="A139" s="16"/>
      <c r="B139" s="16"/>
      <c r="C139" s="16"/>
      <c r="D139" s="11"/>
      <c r="E139" s="11"/>
      <c r="F139" s="11"/>
      <c r="G139" s="11"/>
      <c r="H139" s="11"/>
      <c r="I139" s="11"/>
      <c r="J139" s="11"/>
      <c r="K139" s="11"/>
      <c r="L139" s="11"/>
      <c r="M139" s="11"/>
      <c r="N139" s="11"/>
    </row>
    <row r="140" ht="15" customHeight="1">
      <c r="A140" s="12"/>
      <c r="B140" s="12"/>
      <c r="C140" s="113"/>
      <c r="D140" s="11"/>
      <c r="E140" s="11"/>
      <c r="F140" s="11"/>
      <c r="G140" s="11"/>
      <c r="H140" s="11"/>
      <c r="I140" s="11"/>
      <c r="J140" s="11"/>
      <c r="K140" s="11"/>
      <c r="L140" s="11"/>
      <c r="M140" s="11"/>
      <c r="N140" s="11"/>
    </row>
    <row r="141" ht="15" customHeight="1">
      <c r="A141" s="12"/>
      <c r="B141" s="12"/>
      <c r="C141" s="113"/>
      <c r="D141" s="11"/>
      <c r="E141" s="11"/>
      <c r="F141" s="11"/>
      <c r="G141" s="11"/>
      <c r="H141" s="11"/>
      <c r="I141" s="11"/>
      <c r="J141" s="11"/>
      <c r="K141" s="11"/>
      <c r="L141" s="11"/>
      <c r="M141" s="11"/>
      <c r="N141" s="11"/>
    </row>
    <row r="142" ht="15" customHeight="1">
      <c r="A142" s="12"/>
      <c r="B142" s="12"/>
      <c r="C142" s="113"/>
      <c r="D142" s="11"/>
      <c r="E142" s="11"/>
      <c r="F142" s="11"/>
      <c r="G142" s="11"/>
      <c r="H142" s="11"/>
      <c r="I142" s="11"/>
      <c r="J142" s="11"/>
      <c r="K142" s="11"/>
      <c r="L142" s="11"/>
      <c r="M142" s="11"/>
      <c r="N142" s="11"/>
    </row>
    <row r="143" ht="15" customHeight="1">
      <c r="A143" s="12"/>
      <c r="B143" s="12"/>
      <c r="C143" s="113"/>
      <c r="D143" s="11"/>
      <c r="E143" s="11"/>
      <c r="F143" s="11"/>
      <c r="G143" s="11"/>
      <c r="H143" s="11"/>
      <c r="I143" s="11"/>
      <c r="J143" s="11"/>
      <c r="K143" s="11"/>
      <c r="L143" s="11"/>
      <c r="M143" s="11"/>
      <c r="N143" s="11"/>
    </row>
    <row r="144" ht="15" customHeight="1">
      <c r="A144" s="12"/>
      <c r="B144" s="12"/>
      <c r="C144" s="113"/>
      <c r="D144" s="11"/>
      <c r="E144" s="11"/>
      <c r="F144" s="11"/>
      <c r="G144" s="11"/>
      <c r="H144" s="11"/>
      <c r="I144" s="11"/>
      <c r="J144" s="11"/>
      <c r="K144" s="11"/>
      <c r="L144" s="11"/>
      <c r="M144" s="11"/>
      <c r="N144" s="11"/>
    </row>
    <row r="145" ht="15" customHeight="1">
      <c r="A145" s="12"/>
      <c r="B145" s="12"/>
      <c r="C145" s="113"/>
      <c r="D145" s="11"/>
      <c r="E145" s="11"/>
      <c r="F145" s="11"/>
      <c r="G145" s="11"/>
      <c r="H145" s="11"/>
      <c r="I145" s="11"/>
      <c r="J145" s="11"/>
      <c r="K145" s="11"/>
      <c r="L145" s="11"/>
      <c r="M145" s="11"/>
      <c r="N145" s="11"/>
    </row>
    <row r="146" ht="15" customHeight="1">
      <c r="A146" s="12"/>
      <c r="B146" s="12"/>
      <c r="C146" s="12"/>
      <c r="D146" s="11"/>
      <c r="E146" s="11"/>
      <c r="F146" s="11"/>
      <c r="G146" s="11"/>
      <c r="H146" s="11"/>
      <c r="I146" s="11"/>
      <c r="J146" s="11"/>
      <c r="K146" s="11"/>
      <c r="L146" s="11"/>
      <c r="M146" s="11"/>
      <c r="N146" s="11"/>
    </row>
    <row r="147" ht="15" customHeight="1">
      <c r="A147" s="12"/>
      <c r="B147" s="11"/>
      <c r="C147" s="11"/>
      <c r="D147" s="11"/>
      <c r="E147" s="11"/>
      <c r="F147" s="11"/>
      <c r="G147" s="11"/>
      <c r="H147" s="11"/>
      <c r="I147" s="11"/>
      <c r="J147" s="11"/>
      <c r="K147" s="11"/>
      <c r="L147" s="11"/>
      <c r="M147" s="11"/>
      <c r="N147" s="11"/>
    </row>
    <row r="148" ht="15" customHeight="1">
      <c r="A148" s="11"/>
      <c r="B148" s="11"/>
      <c r="C148" s="11"/>
      <c r="D148" s="11"/>
      <c r="E148" s="11"/>
      <c r="F148" s="11"/>
      <c r="G148" s="11"/>
      <c r="H148" s="11"/>
      <c r="I148" s="11"/>
      <c r="J148" s="11"/>
      <c r="K148" s="11"/>
      <c r="L148" s="11"/>
      <c r="M148" s="11"/>
      <c r="N148" s="11"/>
    </row>
    <row r="149" ht="15" customHeight="1">
      <c r="A149" s="16"/>
      <c r="B149" s="16"/>
      <c r="C149" s="16"/>
      <c r="D149" s="11"/>
      <c r="E149" s="11"/>
      <c r="F149" s="11"/>
      <c r="G149" s="11"/>
      <c r="H149" s="11"/>
      <c r="I149" s="11"/>
      <c r="J149" s="11"/>
      <c r="K149" s="11"/>
      <c r="L149" s="11"/>
      <c r="M149" s="11"/>
      <c r="N149" s="11"/>
    </row>
    <row r="150" ht="15" customHeight="1">
      <c r="A150" s="12"/>
      <c r="B150" s="12"/>
      <c r="C150" s="113"/>
      <c r="D150" s="11"/>
      <c r="E150" s="11"/>
      <c r="F150" s="11"/>
      <c r="G150" s="11"/>
      <c r="H150" s="11"/>
      <c r="I150" s="11"/>
      <c r="J150" s="11"/>
      <c r="K150" s="11"/>
      <c r="L150" s="11"/>
      <c r="M150" s="11"/>
      <c r="N150" s="11"/>
    </row>
    <row r="151" ht="15" customHeight="1">
      <c r="A151" s="12"/>
      <c r="B151" s="12"/>
      <c r="C151" s="113"/>
      <c r="D151" s="11"/>
      <c r="E151" s="11"/>
      <c r="F151" s="11"/>
      <c r="G151" s="11"/>
      <c r="H151" s="11"/>
      <c r="I151" s="11"/>
      <c r="J151" s="11"/>
      <c r="K151" s="11"/>
      <c r="L151" s="11"/>
      <c r="M151" s="11"/>
      <c r="N151" s="11"/>
    </row>
    <row r="152" ht="15" customHeight="1">
      <c r="A152" s="12"/>
      <c r="B152" s="12"/>
      <c r="C152" s="113"/>
      <c r="D152" s="11"/>
      <c r="E152" s="11"/>
      <c r="F152" s="11"/>
      <c r="G152" s="11"/>
      <c r="H152" s="11"/>
      <c r="I152" s="11"/>
      <c r="J152" s="11"/>
      <c r="K152" s="11"/>
      <c r="L152" s="11"/>
      <c r="M152" s="11"/>
      <c r="N152" s="11"/>
    </row>
    <row r="153" ht="15" customHeight="1">
      <c r="A153" s="12"/>
      <c r="B153" s="12"/>
      <c r="C153" s="113"/>
      <c r="D153" s="11"/>
      <c r="E153" s="11"/>
      <c r="F153" s="11"/>
      <c r="G153" s="11"/>
      <c r="H153" s="11"/>
      <c r="I153" s="11"/>
      <c r="J153" s="11"/>
      <c r="K153" s="11"/>
      <c r="L153" s="11"/>
      <c r="M153" s="11"/>
      <c r="N153" s="11"/>
    </row>
    <row r="154" ht="15" customHeight="1">
      <c r="A154" s="12"/>
      <c r="B154" s="12"/>
      <c r="C154" s="113"/>
      <c r="D154" s="11"/>
      <c r="E154" s="11"/>
      <c r="F154" s="11"/>
      <c r="G154" s="11"/>
      <c r="H154" s="11"/>
      <c r="I154" s="11"/>
      <c r="J154" s="11"/>
      <c r="K154" s="11"/>
      <c r="L154" s="11"/>
      <c r="M154" s="11"/>
      <c r="N154" s="11"/>
    </row>
    <row r="155" ht="15" customHeight="1">
      <c r="A155" s="12"/>
      <c r="B155" s="12"/>
      <c r="C155" s="113"/>
      <c r="D155" s="11"/>
      <c r="E155" s="11"/>
      <c r="F155" s="11"/>
      <c r="G155" s="11"/>
      <c r="H155" s="11"/>
      <c r="I155" s="11"/>
      <c r="J155" s="11"/>
      <c r="K155" s="11"/>
      <c r="L155" s="11"/>
      <c r="M155" s="11"/>
      <c r="N155" s="11"/>
    </row>
    <row r="156" ht="15" customHeight="1">
      <c r="A156" s="12"/>
      <c r="B156" s="12"/>
      <c r="C156" s="113"/>
      <c r="D156" s="11"/>
      <c r="E156" s="11"/>
      <c r="F156" s="11"/>
      <c r="G156" s="11"/>
      <c r="H156" s="11"/>
      <c r="I156" s="11"/>
      <c r="J156" s="11"/>
      <c r="K156" s="11"/>
      <c r="L156" s="11"/>
      <c r="M156" s="11"/>
      <c r="N156" s="11"/>
    </row>
    <row r="157" ht="15" customHeight="1">
      <c r="A157" s="12"/>
      <c r="B157" s="12"/>
      <c r="C157" s="113"/>
      <c r="D157" s="11"/>
      <c r="E157" s="11"/>
      <c r="F157" s="11"/>
      <c r="G157" s="11"/>
      <c r="H157" s="11"/>
      <c r="I157" s="11"/>
      <c r="J157" s="11"/>
      <c r="K157" s="11"/>
      <c r="L157" s="11"/>
      <c r="M157" s="11"/>
      <c r="N157" s="11"/>
    </row>
    <row r="158" ht="15" customHeight="1">
      <c r="A158" s="12"/>
      <c r="B158" s="12"/>
      <c r="C158" s="12"/>
      <c r="D158" s="11"/>
      <c r="E158" s="11"/>
      <c r="F158" s="11"/>
      <c r="G158" s="11"/>
      <c r="H158" s="11"/>
      <c r="I158" s="11"/>
      <c r="J158" s="11"/>
      <c r="K158" s="11"/>
      <c r="L158" s="11"/>
      <c r="M158" s="11"/>
      <c r="N158" s="11"/>
    </row>
    <row r="159" ht="15" customHeight="1">
      <c r="A159" s="11"/>
      <c r="B159" s="11"/>
      <c r="C159" s="11"/>
      <c r="D159" s="11"/>
      <c r="E159" s="11"/>
      <c r="F159" s="11"/>
      <c r="G159" s="11"/>
      <c r="H159" s="11"/>
      <c r="I159" s="11"/>
      <c r="J159" s="11"/>
      <c r="K159" s="11"/>
      <c r="L159" s="11"/>
      <c r="M159" s="11"/>
      <c r="N159" s="11"/>
    </row>
    <row r="160" ht="15" customHeight="1">
      <c r="A160" s="11"/>
      <c r="B160" s="11"/>
      <c r="C160" s="11"/>
      <c r="D160" s="11"/>
      <c r="E160" s="11"/>
      <c r="F160" s="11"/>
      <c r="G160" s="11"/>
      <c r="H160" s="11"/>
      <c r="I160" s="11"/>
      <c r="J160" s="11"/>
      <c r="K160" s="11"/>
      <c r="L160" s="11"/>
      <c r="M160" s="11"/>
      <c r="N160" s="11"/>
    </row>
    <row r="161" ht="15" customHeight="1">
      <c r="A161" s="11"/>
      <c r="B161" s="11"/>
      <c r="C161" s="11"/>
      <c r="D161" s="11"/>
      <c r="E161" s="11"/>
      <c r="F161" s="11"/>
      <c r="G161" s="11"/>
      <c r="H161" s="11"/>
      <c r="I161" s="11"/>
      <c r="J161" s="11"/>
      <c r="K161" s="11"/>
      <c r="L161" s="11"/>
      <c r="M161" s="11"/>
      <c r="N161" s="11"/>
    </row>
    <row r="162" ht="15" customHeight="1">
      <c r="A162" s="11"/>
      <c r="B162" s="11"/>
      <c r="C162" s="11"/>
      <c r="D162" s="11"/>
      <c r="E162" s="11"/>
      <c r="F162" s="11"/>
      <c r="G162" s="11"/>
      <c r="H162" s="11"/>
      <c r="I162" s="11"/>
      <c r="J162" s="11"/>
      <c r="K162" s="11"/>
      <c r="L162" s="11"/>
      <c r="M162" s="11"/>
      <c r="N162" s="11"/>
    </row>
    <row r="163" ht="15" customHeight="1">
      <c r="A163" s="11"/>
      <c r="B163" s="11"/>
      <c r="C163" s="11"/>
      <c r="D163" s="11"/>
      <c r="E163" s="11"/>
      <c r="F163" s="11"/>
      <c r="G163" s="11"/>
      <c r="H163" s="11"/>
      <c r="I163" s="11"/>
      <c r="J163" s="11"/>
      <c r="K163" s="11"/>
      <c r="L163" s="11"/>
      <c r="M163" s="11"/>
      <c r="N163" s="11"/>
    </row>
    <row r="164" ht="15" customHeight="1">
      <c r="A164" s="11"/>
      <c r="B164" s="11"/>
      <c r="C164" s="11"/>
      <c r="D164" s="11"/>
      <c r="E164" s="11"/>
      <c r="F164" s="11"/>
      <c r="G164" s="11"/>
      <c r="H164" s="11"/>
      <c r="I164" s="11"/>
      <c r="J164" s="11"/>
      <c r="K164" s="11"/>
      <c r="L164" s="11"/>
      <c r="M164" s="11"/>
      <c r="N164" s="11"/>
    </row>
    <row r="165" ht="15" customHeight="1">
      <c r="A165" s="11"/>
      <c r="B165" s="11"/>
      <c r="C165" s="11"/>
      <c r="D165" s="11"/>
      <c r="E165" s="11"/>
      <c r="F165" s="11"/>
      <c r="G165" s="11"/>
      <c r="H165" s="11"/>
      <c r="I165" s="11"/>
      <c r="J165" s="11"/>
      <c r="K165" s="11"/>
      <c r="L165" s="11"/>
      <c r="M165" s="11"/>
      <c r="N165" s="11"/>
    </row>
    <row r="166" ht="15" customHeight="1">
      <c r="A166" s="11"/>
      <c r="B166" s="11"/>
      <c r="C166" s="11"/>
      <c r="D166" s="11"/>
      <c r="E166" s="11"/>
      <c r="F166" s="11"/>
      <c r="G166" s="11"/>
      <c r="H166" s="11"/>
      <c r="I166" s="11"/>
      <c r="J166" s="11"/>
      <c r="K166" s="11"/>
      <c r="L166" s="11"/>
      <c r="M166" s="11"/>
      <c r="N166" s="11"/>
    </row>
    <row r="167" ht="15" customHeight="1">
      <c r="A167" s="11"/>
      <c r="B167" s="11"/>
      <c r="C167" s="11"/>
      <c r="D167" s="11"/>
      <c r="E167" s="11"/>
      <c r="F167" s="11"/>
      <c r="G167" s="11"/>
      <c r="H167" s="11"/>
      <c r="I167" s="11"/>
      <c r="J167" s="11"/>
      <c r="K167" s="11"/>
      <c r="L167" s="11"/>
      <c r="M167" s="11"/>
      <c r="N167" s="11"/>
    </row>
  </sheetData>
  <mergeCells count="4">
    <mergeCell ref="A1:M1"/>
    <mergeCell ref="A2:M2"/>
    <mergeCell ref="A36:M36"/>
    <mergeCell ref="A37:M37"/>
  </mergeCells>
  <pageMargins left="0.75" right="0.75" top="1" bottom="1" header="0.5" footer="0.5"/>
  <pageSetup firstPageNumber="1" fitToHeight="1" fitToWidth="1" scale="100" useFirstPageNumber="0" orientation="portrait" pageOrder="downThenOver"/>
  <headerFooter>
    <oddFooter>&amp;C&amp;"Helvetica,Regular"&amp;12&amp;K000000&amp;P</oddFooter>
  </headerFooter>
</worksheet>
</file>

<file path=xl/worksheets/sheet8.xml><?xml version="1.0" encoding="utf-8"?>
<worksheet xmlns:r="http://schemas.openxmlformats.org/officeDocument/2006/relationships" xmlns="http://schemas.openxmlformats.org/spreadsheetml/2006/main">
  <dimension ref="A1:N168"/>
  <sheetViews>
    <sheetView workbookViewId="0" showGridLines="0" defaultGridColor="1"/>
  </sheetViews>
  <sheetFormatPr defaultColWidth="12.5" defaultRowHeight="15" customHeight="1" outlineLevelRow="0" outlineLevelCol="0"/>
  <cols>
    <col min="1" max="1" width="27.1719" style="137" customWidth="1"/>
    <col min="2" max="2" width="15.1719" style="137" customWidth="1"/>
    <col min="3" max="3" width="14.6719" style="137" customWidth="1"/>
    <col min="4" max="4" width="17.3516" style="137" customWidth="1"/>
    <col min="5" max="5" width="15" style="137" customWidth="1"/>
    <col min="6" max="7" width="14.6719" style="137" customWidth="1"/>
    <col min="8" max="12" width="16.5" style="137" customWidth="1"/>
    <col min="13" max="13" width="19" style="137" customWidth="1"/>
    <col min="14" max="14" width="15.9375" style="137" customWidth="1"/>
    <col min="15" max="16384" width="12.5" style="137" customWidth="1"/>
  </cols>
  <sheetData>
    <row r="1" ht="23" customHeight="1">
      <c r="A1" t="s" s="7">
        <v>6</v>
      </c>
      <c r="B1" s="8"/>
      <c r="C1" s="8"/>
      <c r="D1" s="9"/>
      <c r="E1" s="9"/>
      <c r="F1" s="9"/>
      <c r="G1" s="9"/>
      <c r="H1" s="9"/>
      <c r="I1" s="9"/>
      <c r="J1" s="9"/>
      <c r="K1" s="9"/>
      <c r="L1" s="9"/>
      <c r="M1" s="9"/>
      <c r="N1" s="10"/>
    </row>
    <row r="2" ht="23" customHeight="1">
      <c r="A2" t="s" s="7">
        <v>173</v>
      </c>
      <c r="B2" s="8"/>
      <c r="C2" s="8"/>
      <c r="D2" s="12"/>
      <c r="E2" s="12"/>
      <c r="F2" s="12"/>
      <c r="G2" s="12"/>
      <c r="H2" s="12"/>
      <c r="I2" s="12"/>
      <c r="J2" s="12"/>
      <c r="K2" s="12"/>
      <c r="L2" s="12"/>
      <c r="M2" s="12"/>
      <c r="N2" s="10"/>
    </row>
    <row r="3" ht="15" customHeight="1">
      <c r="A3" s="13"/>
      <c r="B3" s="13"/>
      <c r="C3" s="13"/>
      <c r="D3" s="13"/>
      <c r="E3" s="13"/>
      <c r="F3" s="13"/>
      <c r="G3" s="13"/>
      <c r="H3" s="13"/>
      <c r="I3" s="13"/>
      <c r="J3" s="13"/>
      <c r="K3" s="13"/>
      <c r="L3" s="13"/>
      <c r="M3" s="13"/>
      <c r="N3" s="72"/>
    </row>
    <row r="4" ht="15" customHeight="1">
      <c r="A4" t="s" s="14">
        <v>8</v>
      </c>
      <c r="B4" t="s" s="14">
        <v>9</v>
      </c>
      <c r="C4" t="s" s="14">
        <v>10</v>
      </c>
      <c r="D4" t="s" s="14">
        <v>11</v>
      </c>
      <c r="E4" t="s" s="14">
        <v>12</v>
      </c>
      <c r="F4" t="s" s="14">
        <v>13</v>
      </c>
      <c r="G4" t="s" s="14">
        <v>14</v>
      </c>
      <c r="H4" t="s" s="14">
        <v>15</v>
      </c>
      <c r="I4" t="s" s="14">
        <v>16</v>
      </c>
      <c r="J4" t="s" s="14">
        <v>17</v>
      </c>
      <c r="K4" t="s" s="14">
        <v>18</v>
      </c>
      <c r="L4" t="s" s="14">
        <v>19</v>
      </c>
      <c r="M4" t="s" s="14">
        <v>20</v>
      </c>
      <c r="N4" t="s" s="73">
        <v>174</v>
      </c>
    </row>
    <row r="5" ht="15" customHeight="1">
      <c r="A5" s="17">
        <v>1</v>
      </c>
      <c r="B5" s="129" cm="1">
        <f t="array" ref="B5">4348000+4542997</f>
        <v>8890997</v>
      </c>
      <c r="C5" s="129" cm="1">
        <f t="array" ref="C5">52787611+15343523+520000</f>
        <v>68651134</v>
      </c>
      <c r="D5" s="138" cm="1">
        <f t="array" ref="D5">60471283+30581879</f>
        <v>91053162</v>
      </c>
      <c r="E5" s="129" cm="1">
        <f t="array" ref="E5">43386954+26689191+238000</f>
        <v>70314145</v>
      </c>
      <c r="F5" s="129" cm="1">
        <f t="array" ref="F5">48751701+15588563</f>
        <v>64340264</v>
      </c>
      <c r="G5" s="129" cm="1">
        <f t="array" ref="G5">55393479+24399500+510600</f>
        <v>80303579</v>
      </c>
      <c r="H5" s="130" cm="1">
        <f t="array" ref="H5">71207476+27754974+184000</f>
        <v>99146450</v>
      </c>
      <c r="I5" s="129" cm="1">
        <f t="array" ref="I5">51358376+21204039</f>
        <v>72562415</v>
      </c>
      <c r="J5" s="129" cm="1">
        <f t="array" ref="J5">55197628+29942141+85100</f>
        <v>85224869</v>
      </c>
      <c r="K5" s="129" cm="1">
        <f t="array" ref="K5">76107419+30550939+143100</f>
        <v>106801458</v>
      </c>
      <c r="L5" s="129">
        <v>73888995</v>
      </c>
      <c r="M5" s="129">
        <v>62210383</v>
      </c>
      <c r="N5" s="75"/>
    </row>
    <row r="6" ht="15" customHeight="1">
      <c r="A6" s="17">
        <v>2</v>
      </c>
      <c r="B6" s="129" cm="1">
        <f t="array" ref="B6">46865220+18851200</f>
        <v>65716420</v>
      </c>
      <c r="C6" s="129" cm="1">
        <f t="array" ref="C6">29909540+7446500+66000</f>
        <v>37422040</v>
      </c>
      <c r="D6" s="138" cm="1">
        <f t="array" ref="D6">42176209+6516392+46000</f>
        <v>48738601</v>
      </c>
      <c r="E6" s="129" cm="1">
        <f t="array" ref="E6">60131243+20227333</f>
        <v>80358576</v>
      </c>
      <c r="F6" s="129" cm="1">
        <f t="array" ref="F6">57380780+25570572+109200</f>
        <v>83060552</v>
      </c>
      <c r="G6" s="129" cm="1">
        <f t="array" ref="G6">26404384+13630264+35600</f>
        <v>40070248</v>
      </c>
      <c r="H6" s="130" cm="1">
        <f t="array" ref="H6">60396650+23916300+488100</f>
        <v>84801050</v>
      </c>
      <c r="I6" s="129" cm="1">
        <f t="array" ref="I6">46946773+26546437+54000</f>
        <v>73547210</v>
      </c>
      <c r="J6" s="129" cm="1">
        <f t="array" ref="J6">46024599+14709725+230000</f>
        <v>60964324</v>
      </c>
      <c r="K6" s="129" cm="1">
        <f t="array" ref="K6">45892463+12024200+120000</f>
        <v>58036663</v>
      </c>
      <c r="L6" s="129">
        <v>31978181</v>
      </c>
      <c r="M6" s="129">
        <v>48761247</v>
      </c>
      <c r="N6" s="19"/>
    </row>
    <row r="7" ht="15" customHeight="1">
      <c r="A7" s="17">
        <v>3</v>
      </c>
      <c r="B7" s="129" cm="1">
        <f t="array" ref="B7">41351600+11728975</f>
        <v>53080575</v>
      </c>
      <c r="C7" s="129" cm="1">
        <f t="array" ref="C7">40174509+19043848+55000</f>
        <v>59273357</v>
      </c>
      <c r="D7" s="129" cm="1">
        <f t="array" ref="D7">28008284+15734541+107300</f>
        <v>43850125</v>
      </c>
      <c r="E7" s="129" cm="1">
        <f t="array" ref="E7">27605689+16265218+550000</f>
        <v>44420907</v>
      </c>
      <c r="F7" s="129" cm="1">
        <f t="array" ref="F7">34387296+15142370+50000</f>
        <v>49579666</v>
      </c>
      <c r="G7" s="129" cm="1">
        <f t="array" ref="G7">36701629+14568250</f>
        <v>51269879</v>
      </c>
      <c r="H7" s="130" cm="1">
        <f t="array" ref="H7">32600884+14991093+125000</f>
        <v>47716977</v>
      </c>
      <c r="I7" s="129" cm="1">
        <f t="array" ref="I7">30577170+10935030+64400</f>
        <v>41576600</v>
      </c>
      <c r="J7" s="129" cm="1">
        <f t="array" ref="J7">27365918+21655693+124100</f>
        <v>49145711</v>
      </c>
      <c r="K7" s="129" cm="1">
        <f t="array" ref="K7">31645480+12520692+150000</f>
        <v>44316172</v>
      </c>
      <c r="L7" s="129">
        <v>44976527</v>
      </c>
      <c r="M7" s="129">
        <v>62962125</v>
      </c>
      <c r="N7" s="19"/>
    </row>
    <row r="8" ht="15" customHeight="1">
      <c r="A8" s="17">
        <v>4</v>
      </c>
      <c r="B8" s="129" cm="1">
        <f t="array" ref="B8">35666588+18504304+191500</f>
        <v>54362392</v>
      </c>
      <c r="C8" s="129" cm="1">
        <f t="array" ref="C8">35679238+18806014+111800</f>
        <v>54597052</v>
      </c>
      <c r="D8" s="129" cm="1">
        <f t="array" ref="D8">42846411+16619718</f>
        <v>59466129</v>
      </c>
      <c r="E8" s="129" cm="1">
        <f t="array" ref="E8">30066372+10203284+111300</f>
        <v>40380956</v>
      </c>
      <c r="F8" s="129" cm="1">
        <f t="array" ref="F8">42263272+10291422+170200</f>
        <v>52724894</v>
      </c>
      <c r="G8" s="129" cm="1">
        <f t="array" ref="G8">25538630+17497630</f>
        <v>43036260</v>
      </c>
      <c r="H8" s="130" cm="1">
        <f t="array" ref="H8">82354152+15982982+33000</f>
        <v>98370134</v>
      </c>
      <c r="I8" s="129" cm="1">
        <f t="array" ref="I8">41402233+9253426+88100</f>
        <v>50743759</v>
      </c>
      <c r="J8" s="129" cm="1">
        <f t="array" ref="J8">33609827+11946300+10000</f>
        <v>45566127</v>
      </c>
      <c r="K8" s="129" cm="1">
        <f t="array" ref="K8">35267126+15852572+109100</f>
        <v>51228798</v>
      </c>
      <c r="L8" s="129">
        <v>38956980</v>
      </c>
      <c r="M8" s="129">
        <v>80034997</v>
      </c>
      <c r="N8" s="19"/>
    </row>
    <row r="9" ht="15" customHeight="1">
      <c r="A9" s="17">
        <v>5</v>
      </c>
      <c r="B9" s="129" cm="1">
        <f t="array" ref="B9">35916223+17325004+95850</f>
        <v>53337077</v>
      </c>
      <c r="C9" s="18"/>
      <c r="D9" s="18"/>
      <c r="E9" s="18"/>
      <c r="F9" s="129" cm="1">
        <f t="array" ref="F9">43600791+15475547</f>
        <v>59076338</v>
      </c>
      <c r="G9" s="18"/>
      <c r="H9" s="74"/>
      <c r="I9" s="129" cm="1">
        <f t="array" ref="I9">58561335+11816527+53000</f>
        <v>70430862</v>
      </c>
      <c r="J9" s="18"/>
      <c r="K9" s="129" cm="1">
        <f t="array" ref="K9">52062018+15676534+89100</f>
        <v>67827652</v>
      </c>
      <c r="L9" s="129" cm="1">
        <f t="array" ref="L9">197512208/2</f>
        <v>98756104</v>
      </c>
      <c r="M9" s="129" cm="1">
        <f t="array" ref="M9">197512208/2</f>
        <v>98756104</v>
      </c>
      <c r="N9" t="s" s="139">
        <v>175</v>
      </c>
    </row>
    <row r="10" ht="15" customHeight="1">
      <c r="A10" t="s" s="20">
        <v>22</v>
      </c>
      <c r="B10" s="18" cm="1">
        <f t="array" ref="B10">SUM(B5:B9)</f>
        <v>235387461</v>
      </c>
      <c r="C10" s="18" cm="1">
        <f t="array" ref="C10">SUM(C5:C9)</f>
        <v>219943583</v>
      </c>
      <c r="D10" s="18" cm="1">
        <f t="array" ref="D10">SUM(D5:D9)</f>
        <v>243108017</v>
      </c>
      <c r="E10" s="18" cm="1">
        <f t="array" ref="E10">SUM(E5:E9)</f>
        <v>235474584</v>
      </c>
      <c r="F10" s="18" cm="1">
        <f t="array" ref="F10">SUM(F5:F9)</f>
        <v>308781714</v>
      </c>
      <c r="G10" s="18" cm="1">
        <f t="array" ref="G10">SUM(G5:G9)</f>
        <v>214679966</v>
      </c>
      <c r="H10" s="74" cm="1">
        <f t="array" ref="H10">SUM(H5:H9)</f>
        <v>330034611</v>
      </c>
      <c r="I10" s="18" cm="1">
        <f t="array" ref="I10">SUM(I5:I9)</f>
        <v>308860846</v>
      </c>
      <c r="J10" s="18" cm="1">
        <f t="array" ref="J10">SUM(J5:J9)</f>
        <v>240901031</v>
      </c>
      <c r="K10" s="18" cm="1">
        <f t="array" ref="K10">SUM(K5:K9)</f>
        <v>328210743</v>
      </c>
      <c r="L10" s="140" cm="1">
        <f t="array" ref="L10">SUM(L5:L9)</f>
        <v>288556787</v>
      </c>
      <c r="M10" s="140" cm="1">
        <f t="array" ref="M10">SUM(M5:M9)</f>
        <v>352724856</v>
      </c>
      <c r="N10" s="61"/>
    </row>
    <row r="11" ht="15" customHeight="1">
      <c r="A11" t="s" s="20">
        <v>23</v>
      </c>
      <c r="B11" s="18" cm="1">
        <f t="array" ref="B11">AVERAGE(B5:B9)</f>
        <v>47077492.2</v>
      </c>
      <c r="C11" s="18" cm="1">
        <f t="array" ref="C11">AVERAGE(C5:C9)</f>
        <v>54985895.75</v>
      </c>
      <c r="D11" s="18" cm="1">
        <f t="array" ref="D11">AVERAGE(D5:D9)</f>
        <v>60777004.25</v>
      </c>
      <c r="E11" s="18" cm="1">
        <f t="array" ref="E11">AVERAGE(E5:E9)</f>
        <v>58868646</v>
      </c>
      <c r="F11" s="18" cm="1">
        <f t="array" ref="F11">AVERAGE(F5:F9)</f>
        <v>61756342.8</v>
      </c>
      <c r="G11" s="18" cm="1">
        <f t="array" ref="G11">AVERAGE(G5:G9)</f>
        <v>53669991.5</v>
      </c>
      <c r="H11" s="74" cm="1">
        <f t="array" ref="H11">AVERAGE(H5:H9)</f>
        <v>82508652.75</v>
      </c>
      <c r="I11" s="18" cm="1">
        <f t="array" ref="I11">AVERAGE(I5:I9)</f>
        <v>61772169.2</v>
      </c>
      <c r="J11" s="18" cm="1">
        <f t="array" ref="J11">AVERAGE(J5:J9)</f>
        <v>60225257.75</v>
      </c>
      <c r="K11" s="18" cm="1">
        <f t="array" ref="K11">AVERAGE(K5:K9)</f>
        <v>65642148.6</v>
      </c>
      <c r="L11" s="18" cm="1">
        <f t="array" ref="L11">AVERAGE(L5:L9)</f>
        <v>57711357.4</v>
      </c>
      <c r="M11" s="18" cm="1">
        <f t="array" ref="M11">AVERAGE(M5:M9)</f>
        <v>70544971.2</v>
      </c>
      <c r="N11" s="21"/>
    </row>
    <row r="12" ht="15" customHeight="1">
      <c r="A12" t="s" s="22">
        <v>24</v>
      </c>
      <c r="B12" s="23"/>
      <c r="C12" s="24" cm="1">
        <f t="array" ref="C12">C10/B10-1</f>
        <v>-0.0656104532263084</v>
      </c>
      <c r="D12" s="24" cm="1">
        <f t="array" ref="D12">D10/C10-1</f>
        <v>0.105319890146556</v>
      </c>
      <c r="E12" s="24" cm="1">
        <f t="array" ref="E12">E10/D10-1</f>
        <v>-0.0313993470647247</v>
      </c>
      <c r="F12" s="24" cm="1">
        <f t="array" ref="F12">F10/E10-1</f>
        <v>0.311316528326471</v>
      </c>
      <c r="G12" s="24" cm="1">
        <f t="array" ref="G12">G10/F10-1</f>
        <v>-0.304751686170121</v>
      </c>
      <c r="H12" s="24" cm="1">
        <f t="array" ref="H12">H10/G10-1</f>
        <v>0.537333069076413</v>
      </c>
      <c r="I12" s="24" cm="1">
        <f t="array" ref="I12">I10/H10-1</f>
        <v>-0.0641561954240005</v>
      </c>
      <c r="J12" s="24" cm="1">
        <f t="array" ref="J12">J10/I10-1</f>
        <v>-0.220033765626608</v>
      </c>
      <c r="K12" s="24" cm="1">
        <f t="array" ref="K12">K10/J10-1</f>
        <v>0.362429797986211</v>
      </c>
      <c r="L12" s="24" cm="1">
        <f t="array" ref="L12">L10/K10-1</f>
        <v>-0.120818580274199</v>
      </c>
      <c r="M12" s="24" cm="1">
        <f t="array" ref="M12">M10/L10-1</f>
        <v>0.222375878478298</v>
      </c>
      <c r="N12" s="10"/>
    </row>
    <row r="13" ht="15" customHeight="1">
      <c r="A13" t="s" s="25">
        <v>176</v>
      </c>
      <c r="B13" s="26" cm="1">
        <f t="array" ref="B13">B10</f>
        <v>235387461</v>
      </c>
      <c r="C13" s="26" cm="1">
        <f t="array" ref="C13">C10+B13</f>
        <v>455331044</v>
      </c>
      <c r="D13" s="26" cm="1">
        <f t="array" ref="D13">D10+C13</f>
        <v>698439061</v>
      </c>
      <c r="E13" s="26" cm="1">
        <f t="array" ref="E13">E10+D13</f>
        <v>933913645</v>
      </c>
      <c r="F13" s="26" cm="1">
        <f t="array" ref="F13">F10+E13</f>
        <v>1242695359</v>
      </c>
      <c r="G13" s="26" cm="1">
        <f t="array" ref="G13">G10+F13</f>
        <v>1457375325</v>
      </c>
      <c r="H13" s="26" cm="1">
        <f t="array" ref="H13">H10+G13</f>
        <v>1787409936</v>
      </c>
      <c r="I13" s="26" cm="1">
        <f t="array" ref="I13">I10+H13</f>
        <v>2096270782</v>
      </c>
      <c r="J13" s="26" cm="1">
        <f t="array" ref="J13">J10+I13</f>
        <v>2337171813</v>
      </c>
      <c r="K13" s="26" cm="1">
        <f t="array" ref="K13">K10+J13</f>
        <v>2665382556</v>
      </c>
      <c r="L13" s="26" cm="1">
        <f t="array" ref="L13">L10+K13</f>
        <v>2953939343</v>
      </c>
      <c r="M13" s="26" cm="1">
        <f t="array" ref="M13">M10+L13</f>
        <v>3306664199</v>
      </c>
      <c r="N13" s="76"/>
    </row>
    <row r="14" ht="15" customHeight="1">
      <c r="A14" t="s" s="25">
        <v>165</v>
      </c>
      <c r="B14" s="26">
        <v>188040283</v>
      </c>
      <c r="C14" s="26">
        <v>376251298</v>
      </c>
      <c r="D14" s="26">
        <v>556810979</v>
      </c>
      <c r="E14" s="26">
        <v>680435919</v>
      </c>
      <c r="F14" s="26">
        <v>1027116059</v>
      </c>
      <c r="G14" s="26">
        <v>1214423571</v>
      </c>
      <c r="H14" s="26">
        <v>1423312373</v>
      </c>
      <c r="I14" s="26">
        <v>1714741759</v>
      </c>
      <c r="J14" s="26">
        <v>1908922799</v>
      </c>
      <c r="K14" s="26">
        <v>2122560526</v>
      </c>
      <c r="L14" s="26">
        <v>2401444156</v>
      </c>
      <c r="M14" s="26">
        <v>2704238435</v>
      </c>
      <c r="N14" s="57"/>
    </row>
    <row r="15" ht="15" customHeight="1">
      <c r="A15" t="s" s="25">
        <v>177</v>
      </c>
      <c r="B15" s="28" cm="1">
        <f t="array" ref="B15">B13/B14-1</f>
        <v>0.251792739537623</v>
      </c>
      <c r="C15" s="28" cm="1">
        <f t="array" ref="C15">C13/C14-1</f>
        <v>0.210178001831106</v>
      </c>
      <c r="D15" s="28" cm="1">
        <f t="array" ref="D15">D13/D14-1</f>
        <v>0.254355764059027</v>
      </c>
      <c r="E15" s="28" cm="1">
        <f t="array" ref="E15">E13/E14-1</f>
        <v>0.372522553442685</v>
      </c>
      <c r="F15" s="28" cm="1">
        <f t="array" ref="F15">F13/F14-1</f>
        <v>0.209887965542947</v>
      </c>
      <c r="G15" s="28" cm="1">
        <f t="array" ref="G15">G13/G14-1</f>
        <v>0.200055202979916</v>
      </c>
      <c r="H15" s="28" cm="1">
        <f t="array" ref="H15">H13/H14-1</f>
        <v>0.255810017468316</v>
      </c>
      <c r="I15" s="28" cm="1">
        <f t="array" ref="I15">I13/I14-1</f>
        <v>0.22249940610445</v>
      </c>
      <c r="J15" s="28" cm="1">
        <f t="array" ref="J15">J13/J14-1</f>
        <v>0.224340667010914</v>
      </c>
      <c r="K15" s="28" cm="1">
        <f t="array" ref="K15">K13/K14-1</f>
        <v>0.25573924670264</v>
      </c>
      <c r="L15" s="28" cm="1">
        <f t="array" ref="L15">L13/L14-1</f>
        <v>0.230067888782503</v>
      </c>
      <c r="M15" s="28" cm="1">
        <f t="array" ref="M15">M13/M14-1</f>
        <v>0.222770949559409</v>
      </c>
      <c r="N15" s="77"/>
    </row>
    <row r="16" ht="15" customHeight="1">
      <c r="A16" s="11"/>
      <c r="B16" s="28"/>
      <c r="C16" s="28"/>
      <c r="D16" s="28"/>
      <c r="E16" s="28"/>
      <c r="F16" s="28"/>
      <c r="G16" s="28"/>
      <c r="H16" s="28"/>
      <c r="I16" s="28"/>
      <c r="J16" s="28"/>
      <c r="K16" s="116"/>
      <c r="L16" s="28"/>
      <c r="M16" s="28"/>
      <c r="N16" s="10"/>
    </row>
    <row r="17" ht="15" customHeight="1">
      <c r="A17" t="s" s="106">
        <v>167</v>
      </c>
      <c r="B17" s="28"/>
      <c r="C17" s="28"/>
      <c r="D17" s="28"/>
      <c r="E17" s="28"/>
      <c r="F17" s="28"/>
      <c r="G17" s="28"/>
      <c r="H17" s="28"/>
      <c r="I17" s="28"/>
      <c r="J17" s="28"/>
      <c r="K17" s="116"/>
      <c r="L17" s="28"/>
      <c r="M17" s="28"/>
      <c r="N17" s="10"/>
    </row>
    <row r="18" ht="15" customHeight="1">
      <c r="A18" s="131"/>
      <c r="B18" s="132"/>
      <c r="C18" s="132"/>
      <c r="D18" s="132"/>
      <c r="E18" s="132"/>
      <c r="F18" s="132"/>
      <c r="G18" s="132"/>
      <c r="H18" s="132"/>
      <c r="I18" s="132"/>
      <c r="J18" s="132"/>
      <c r="K18" s="133"/>
      <c r="L18" s="132"/>
      <c r="M18" s="132"/>
      <c r="N18" s="10"/>
    </row>
    <row r="19" ht="15" customHeight="1">
      <c r="A19" t="s" s="14">
        <v>8</v>
      </c>
      <c r="B19" t="s" s="14">
        <v>9</v>
      </c>
      <c r="C19" t="s" s="14">
        <v>10</v>
      </c>
      <c r="D19" t="s" s="14">
        <v>11</v>
      </c>
      <c r="E19" t="s" s="14">
        <v>12</v>
      </c>
      <c r="F19" t="s" s="14">
        <v>13</v>
      </c>
      <c r="G19" t="s" s="14">
        <v>14</v>
      </c>
      <c r="H19" t="s" s="14">
        <v>15</v>
      </c>
      <c r="I19" t="s" s="14">
        <v>16</v>
      </c>
      <c r="J19" t="s" s="14">
        <v>17</v>
      </c>
      <c r="K19" t="s" s="14">
        <v>18</v>
      </c>
      <c r="L19" t="s" s="14">
        <v>19</v>
      </c>
      <c r="M19" t="s" s="14">
        <v>20</v>
      </c>
      <c r="N19" s="21"/>
    </row>
    <row r="20" ht="15" customHeight="1">
      <c r="A20" s="37"/>
      <c r="B20" s="134">
        <v>1</v>
      </c>
      <c r="C20" s="134" cm="1">
        <f t="array" ref="C20">B24+1</f>
        <v>6</v>
      </c>
      <c r="D20" s="134" cm="1">
        <f t="array" ref="D20">C23+1</f>
        <v>10</v>
      </c>
      <c r="E20" s="134" cm="1">
        <f t="array" ref="E20">D23+1</f>
        <v>14</v>
      </c>
      <c r="F20" s="134" cm="1">
        <f t="array" ref="F20">E23+1</f>
        <v>18</v>
      </c>
      <c r="G20" s="134" cm="1">
        <f t="array" ref="G20">F24+1</f>
        <v>23</v>
      </c>
      <c r="H20" s="134" cm="1">
        <f t="array" ref="H20">G23+1</f>
        <v>27</v>
      </c>
      <c r="I20" s="134" cm="1">
        <f t="array" ref="I20">H23+1</f>
        <v>31</v>
      </c>
      <c r="J20" s="84" cm="1">
        <f t="array" ref="J20">I24+1</f>
        <v>36</v>
      </c>
      <c r="K20" s="134" cm="1">
        <f t="array" ref="K20">J23+1</f>
        <v>40</v>
      </c>
      <c r="L20" s="134" cm="1">
        <f t="array" ref="L20">K23+1</f>
        <v>44</v>
      </c>
      <c r="M20" s="134" cm="1">
        <f t="array" ref="M20">L23+1</f>
        <v>48</v>
      </c>
      <c r="N20" s="77"/>
    </row>
    <row r="21" ht="15" customHeight="1">
      <c r="A21" s="37"/>
      <c r="B21" s="134">
        <v>2</v>
      </c>
      <c r="C21" s="134" cm="1">
        <f t="array" ref="C21">C20+1</f>
        <v>7</v>
      </c>
      <c r="D21" s="134" cm="1">
        <f t="array" ref="D21">D20+1</f>
        <v>11</v>
      </c>
      <c r="E21" s="134" cm="1">
        <f t="array" ref="E21">E20+1</f>
        <v>15</v>
      </c>
      <c r="F21" s="134" cm="1">
        <f t="array" ref="F21">F20+1</f>
        <v>19</v>
      </c>
      <c r="G21" s="134" cm="1">
        <f t="array" ref="G21">G20+1</f>
        <v>24</v>
      </c>
      <c r="H21" s="134" cm="1">
        <f t="array" ref="H21">H20+1</f>
        <v>28</v>
      </c>
      <c r="I21" s="134" cm="1">
        <f t="array" ref="I21">I20+1</f>
        <v>32</v>
      </c>
      <c r="J21" s="84" cm="1">
        <f t="array" ref="J21">J20+1</f>
        <v>37</v>
      </c>
      <c r="K21" s="84" cm="1">
        <f t="array" ref="K21">K20+1</f>
        <v>41</v>
      </c>
      <c r="L21" s="84" cm="1">
        <f t="array" ref="L21">L20+1</f>
        <v>45</v>
      </c>
      <c r="M21" s="84" cm="1">
        <f t="array" ref="M21">M20+1</f>
        <v>49</v>
      </c>
      <c r="N21" s="77"/>
    </row>
    <row r="22" ht="15" customHeight="1">
      <c r="A22" s="37"/>
      <c r="B22" s="134">
        <v>3</v>
      </c>
      <c r="C22" s="134" cm="1">
        <f t="array" ref="C22">C21+1</f>
        <v>8</v>
      </c>
      <c r="D22" s="134" cm="1">
        <f t="array" ref="D22">D21+1</f>
        <v>12</v>
      </c>
      <c r="E22" s="134" cm="1">
        <f t="array" ref="E22">E21+1</f>
        <v>16</v>
      </c>
      <c r="F22" s="134" cm="1">
        <f t="array" ref="F22">F21+1</f>
        <v>20</v>
      </c>
      <c r="G22" s="134" cm="1">
        <f t="array" ref="G22">G21+1</f>
        <v>25</v>
      </c>
      <c r="H22" s="134" cm="1">
        <f t="array" ref="H22">H21+1</f>
        <v>29</v>
      </c>
      <c r="I22" s="134" cm="1">
        <f t="array" ref="I22">I21+1</f>
        <v>33</v>
      </c>
      <c r="J22" s="84" cm="1">
        <f t="array" ref="J22">J21+1</f>
        <v>38</v>
      </c>
      <c r="K22" s="84" cm="1">
        <f t="array" ref="K22">K21+1</f>
        <v>42</v>
      </c>
      <c r="L22" s="84" cm="1">
        <f t="array" ref="L22">L21+1</f>
        <v>46</v>
      </c>
      <c r="M22" s="84" cm="1">
        <f t="array" ref="M22">M21+1</f>
        <v>50</v>
      </c>
      <c r="N22" s="77"/>
    </row>
    <row r="23" ht="15" customHeight="1">
      <c r="A23" s="37"/>
      <c r="B23" s="134">
        <v>4</v>
      </c>
      <c r="C23" s="134" cm="1">
        <f t="array" ref="C23">C22+1</f>
        <v>9</v>
      </c>
      <c r="D23" s="134" cm="1">
        <f t="array" ref="D23">D22+1</f>
        <v>13</v>
      </c>
      <c r="E23" s="134" cm="1">
        <f t="array" ref="E23">E22+1</f>
        <v>17</v>
      </c>
      <c r="F23" s="134" cm="1">
        <f t="array" ref="F23">F22+1</f>
        <v>21</v>
      </c>
      <c r="G23" s="134" cm="1">
        <f t="array" ref="G23">G22+1</f>
        <v>26</v>
      </c>
      <c r="H23" s="134" cm="1">
        <f t="array" ref="H23">H22+1</f>
        <v>30</v>
      </c>
      <c r="I23" s="134" cm="1">
        <f t="array" ref="I23">I22+1</f>
        <v>34</v>
      </c>
      <c r="J23" s="84" cm="1">
        <f t="array" ref="J23">J22+1</f>
        <v>39</v>
      </c>
      <c r="K23" s="84" cm="1">
        <f t="array" ref="K23">K22+1</f>
        <v>43</v>
      </c>
      <c r="L23" s="84" cm="1">
        <f t="array" ref="L23">L22+1</f>
        <v>47</v>
      </c>
      <c r="M23" s="84" cm="1">
        <f t="array" ref="M23">M22+1</f>
        <v>51</v>
      </c>
      <c r="N23" s="10"/>
    </row>
    <row r="24" ht="15" customHeight="1">
      <c r="A24" s="37"/>
      <c r="B24" s="134">
        <v>5</v>
      </c>
      <c r="C24" s="134"/>
      <c r="D24" s="134"/>
      <c r="E24" s="134"/>
      <c r="F24" s="134" cm="1">
        <f t="array" ref="F24">F23+1</f>
        <v>22</v>
      </c>
      <c r="G24" s="84"/>
      <c r="H24" s="84"/>
      <c r="I24" s="134" cm="1">
        <f t="array" ref="I24">I23+1</f>
        <v>35</v>
      </c>
      <c r="J24" s="84"/>
      <c r="K24" s="84" cm="1">
        <f t="array" ref="K24">K23+1</f>
        <v>44</v>
      </c>
      <c r="L24" s="84"/>
      <c r="M24" s="84"/>
      <c r="N24" s="10"/>
    </row>
    <row r="25" ht="15" customHeight="1">
      <c r="A25" s="37"/>
      <c r="B25" s="134"/>
      <c r="C25" s="134"/>
      <c r="D25" s="134"/>
      <c r="E25" s="134"/>
      <c r="F25" s="84"/>
      <c r="G25" s="84"/>
      <c r="H25" s="84"/>
      <c r="I25" s="84"/>
      <c r="J25" s="84"/>
      <c r="K25" s="84"/>
      <c r="L25" s="84"/>
      <c r="M25" s="84"/>
      <c r="N25" s="10"/>
    </row>
    <row r="26" ht="15" customHeight="1">
      <c r="A26" s="37"/>
      <c r="B26" s="134"/>
      <c r="C26" s="134"/>
      <c r="D26" s="134"/>
      <c r="E26" s="134"/>
      <c r="F26" s="84"/>
      <c r="G26" s="84"/>
      <c r="H26" s="84"/>
      <c r="I26" s="84"/>
      <c r="J26" s="84"/>
      <c r="K26" s="84"/>
      <c r="L26" s="84"/>
      <c r="M26" s="84"/>
      <c r="N26" s="10"/>
    </row>
    <row r="27" ht="15" customHeight="1">
      <c r="A27" s="37"/>
      <c r="B27" s="134"/>
      <c r="C27" s="134"/>
      <c r="D27" s="134"/>
      <c r="E27" s="134"/>
      <c r="F27" s="84"/>
      <c r="G27" s="84"/>
      <c r="H27" s="84"/>
      <c r="I27" s="84"/>
      <c r="J27" s="84"/>
      <c r="K27" s="84"/>
      <c r="L27" s="84"/>
      <c r="M27" s="84"/>
      <c r="N27" s="10"/>
    </row>
    <row r="28" ht="15" customHeight="1">
      <c r="A28" s="37"/>
      <c r="B28" s="83"/>
      <c r="C28" s="83"/>
      <c r="D28" s="83"/>
      <c r="E28" s="83"/>
      <c r="F28" s="37"/>
      <c r="G28" s="37"/>
      <c r="H28" s="37"/>
      <c r="I28" s="37"/>
      <c r="J28" s="37"/>
      <c r="K28" s="37"/>
      <c r="L28" s="37"/>
      <c r="M28" s="37"/>
      <c r="N28" s="10"/>
    </row>
    <row r="29" ht="15" customHeight="1">
      <c r="A29" t="s" s="33">
        <v>120</v>
      </c>
      <c r="B29" s="18" cm="1">
        <f t="array" ref="B29">70000+40000+81000+10000</f>
        <v>201000</v>
      </c>
      <c r="C29" s="92" cm="1">
        <f t="array" ref="C29">80000+18000+45000</f>
        <v>143000</v>
      </c>
      <c r="D29" s="18" cm="1">
        <f t="array" ref="D29">30000+40000+10000+35000</f>
        <v>115000</v>
      </c>
      <c r="E29" s="18" cm="1">
        <f t="array" ref="E29">90000+30000+18000+10000</f>
        <v>148000</v>
      </c>
      <c r="F29" s="18" cm="1">
        <f t="array" ref="F29">78000+80000+10000+34500</f>
        <v>202500</v>
      </c>
      <c r="G29" s="18" cm="1">
        <f t="array" ref="G29">80000+16000+18000+6000</f>
        <v>120000</v>
      </c>
      <c r="H29" s="18" cm="1">
        <f t="array" ref="H29">10000+40000+20000</f>
        <v>70000</v>
      </c>
      <c r="I29" s="92" cm="1">
        <f t="array" ref="I29">26000+60000+620000</f>
        <v>706000</v>
      </c>
      <c r="J29" s="92" cm="1">
        <f t="array" ref="J29">54000+100000+40000</f>
        <v>194000</v>
      </c>
      <c r="K29" s="92" cm="1">
        <f t="array" ref="K29">95000+95000+21000+167000</f>
        <v>378000</v>
      </c>
      <c r="L29" s="18" cm="1">
        <f t="array" ref="L29">100000+120000+30000+157000</f>
        <v>407000</v>
      </c>
      <c r="M29" s="92">
        <v>207000</v>
      </c>
      <c r="N29" s="98" cm="1">
        <f t="array" ref="N29">SUM(B29:M29)</f>
        <v>2891500</v>
      </c>
    </row>
    <row r="30" ht="15" customHeight="1">
      <c r="A30" t="s" s="33">
        <v>38</v>
      </c>
      <c r="B30" s="18"/>
      <c r="C30" s="18"/>
      <c r="D30" s="18"/>
      <c r="E30" s="18"/>
      <c r="F30" s="18"/>
      <c r="G30" s="18"/>
      <c r="H30" s="18"/>
      <c r="I30" s="18"/>
      <c r="J30" s="18"/>
      <c r="K30" s="18"/>
      <c r="L30" s="18"/>
      <c r="M30" s="18"/>
      <c r="N30" s="98" cm="1">
        <f t="array" ref="N30">SUM(B30:M30)</f>
        <v>0</v>
      </c>
    </row>
    <row r="31" ht="15" customHeight="1">
      <c r="A31" t="s" s="33">
        <v>121</v>
      </c>
      <c r="B31" s="18"/>
      <c r="C31" s="18"/>
      <c r="D31" s="18"/>
      <c r="E31" s="18"/>
      <c r="F31" s="18"/>
      <c r="G31" s="18"/>
      <c r="H31" s="18"/>
      <c r="I31" s="18"/>
      <c r="J31" s="18"/>
      <c r="K31" s="18"/>
      <c r="L31" s="18"/>
      <c r="M31" s="18"/>
      <c r="N31" s="19" cm="1">
        <f t="array" ref="N31">SUM(B31:M31)</f>
        <v>0</v>
      </c>
    </row>
    <row r="32" ht="15" customHeight="1">
      <c r="A32" t="s" s="33">
        <v>122</v>
      </c>
      <c r="B32" s="18"/>
      <c r="C32" s="18"/>
      <c r="D32" s="18"/>
      <c r="E32" s="18"/>
      <c r="F32" s="18"/>
      <c r="G32" s="18"/>
      <c r="H32" s="18"/>
      <c r="I32" s="18"/>
      <c r="J32" s="18"/>
      <c r="K32" s="18"/>
      <c r="L32" s="18"/>
      <c r="M32" s="18"/>
      <c r="N32" s="19" cm="1">
        <f t="array" ref="N32">SUM(B32:M32)</f>
        <v>0</v>
      </c>
    </row>
    <row r="33" ht="15" customHeight="1">
      <c r="A33" t="s" s="33">
        <v>49</v>
      </c>
      <c r="B33" s="18"/>
      <c r="C33" s="18"/>
      <c r="D33" s="18"/>
      <c r="E33" s="18"/>
      <c r="F33" s="18"/>
      <c r="G33" s="18"/>
      <c r="H33" s="18"/>
      <c r="I33" s="18"/>
      <c r="J33" s="18"/>
      <c r="K33" s="18"/>
      <c r="L33" s="18"/>
      <c r="M33" s="18"/>
      <c r="N33" s="19" cm="1">
        <f t="array" ref="N33">SUM(B33:M33)</f>
        <v>0</v>
      </c>
    </row>
    <row r="34" ht="15" customHeight="1">
      <c r="A34" s="30"/>
      <c r="B34" s="23"/>
      <c r="C34" s="23"/>
      <c r="D34" s="23"/>
      <c r="E34" s="23"/>
      <c r="F34" s="23"/>
      <c r="G34" s="23"/>
      <c r="H34" s="23"/>
      <c r="I34" s="45"/>
      <c r="J34" s="23"/>
      <c r="K34" s="23"/>
      <c r="L34" s="23"/>
      <c r="M34" s="23"/>
      <c r="N34" s="27"/>
    </row>
    <row r="35" ht="15" customHeight="1">
      <c r="A35" s="11"/>
      <c r="B35" s="26"/>
      <c r="C35" s="26"/>
      <c r="D35" s="26"/>
      <c r="E35" s="26"/>
      <c r="F35" s="26"/>
      <c r="G35" s="26"/>
      <c r="H35" s="26"/>
      <c r="I35" s="26"/>
      <c r="J35" s="26"/>
      <c r="K35" s="26"/>
      <c r="L35" s="26"/>
      <c r="M35" s="26"/>
      <c r="N35" s="27"/>
    </row>
    <row r="36" ht="23" customHeight="1">
      <c r="A36" t="s" s="7">
        <v>6</v>
      </c>
      <c r="B36" s="8"/>
      <c r="C36" s="8"/>
      <c r="D36" s="9"/>
      <c r="E36" s="9"/>
      <c r="F36" s="9"/>
      <c r="G36" s="9"/>
      <c r="H36" s="9"/>
      <c r="I36" s="9"/>
      <c r="J36" s="9"/>
      <c r="K36" s="9"/>
      <c r="L36" s="9"/>
      <c r="M36" s="9"/>
      <c r="N36" s="27"/>
    </row>
    <row r="37" ht="23" customHeight="1">
      <c r="A37" t="s" s="7">
        <v>178</v>
      </c>
      <c r="B37" s="8"/>
      <c r="C37" s="8"/>
      <c r="D37" s="12"/>
      <c r="E37" s="12"/>
      <c r="F37" s="12"/>
      <c r="G37" s="12"/>
      <c r="H37" s="12"/>
      <c r="I37" s="12"/>
      <c r="J37" s="12"/>
      <c r="K37" s="12"/>
      <c r="L37" s="12"/>
      <c r="M37" s="12"/>
      <c r="N37" s="27"/>
    </row>
    <row r="38" ht="23" customHeight="1">
      <c r="A38" s="8"/>
      <c r="B38" s="8"/>
      <c r="C38" s="8"/>
      <c r="D38" s="9"/>
      <c r="E38" s="9"/>
      <c r="F38" s="9"/>
      <c r="G38" s="9"/>
      <c r="H38" s="9"/>
      <c r="I38" s="9"/>
      <c r="J38" s="9"/>
      <c r="K38" s="9"/>
      <c r="L38" s="9"/>
      <c r="M38" s="9"/>
      <c r="N38" s="27"/>
    </row>
    <row r="39" ht="15" customHeight="1">
      <c r="A39" s="13"/>
      <c r="B39" s="13"/>
      <c r="C39" s="13"/>
      <c r="D39" s="13"/>
      <c r="E39" s="13"/>
      <c r="F39" s="13"/>
      <c r="G39" s="13"/>
      <c r="H39" s="13"/>
      <c r="I39" s="13"/>
      <c r="J39" s="13"/>
      <c r="K39" s="13"/>
      <c r="L39" s="13"/>
      <c r="M39" s="13"/>
      <c r="N39" s="78"/>
    </row>
    <row r="40" ht="15" customHeight="1">
      <c r="A40" t="s" s="32">
        <v>28</v>
      </c>
      <c r="B40" t="s" s="14">
        <v>9</v>
      </c>
      <c r="C40" t="s" s="14">
        <v>10</v>
      </c>
      <c r="D40" t="s" s="14">
        <v>11</v>
      </c>
      <c r="E40" t="s" s="14">
        <v>12</v>
      </c>
      <c r="F40" t="s" s="14">
        <v>13</v>
      </c>
      <c r="G40" t="s" s="14">
        <v>14</v>
      </c>
      <c r="H40" t="s" s="14">
        <v>15</v>
      </c>
      <c r="I40" t="s" s="14">
        <v>16</v>
      </c>
      <c r="J40" t="s" s="14">
        <v>17</v>
      </c>
      <c r="K40" t="s" s="14">
        <v>18</v>
      </c>
      <c r="L40" t="s" s="14">
        <v>19</v>
      </c>
      <c r="M40" t="s" s="14">
        <v>20</v>
      </c>
      <c r="N40" t="s" s="73">
        <v>174</v>
      </c>
    </row>
    <row r="41" ht="15" customHeight="1">
      <c r="A41" t="s" s="33">
        <v>179</v>
      </c>
      <c r="B41" s="79"/>
      <c r="C41" s="79"/>
      <c r="D41" s="79"/>
      <c r="E41" s="80"/>
      <c r="F41" s="80"/>
      <c r="G41" s="80"/>
      <c r="H41" s="80"/>
      <c r="I41" s="80" cm="1">
        <f t="array" ref="I41">(794+8+8+29+629+7+14+11+31)/2</f>
        <v>765.5</v>
      </c>
      <c r="J41" s="118" cm="1">
        <f t="array" ref="J41">(580+12+9+21+601+12+8+24+568+9+9+23+660+9+12+28)/4</f>
        <v>646.25</v>
      </c>
      <c r="K41" s="35"/>
      <c r="L41" s="35"/>
      <c r="M41" s="35"/>
      <c r="N41" s="135"/>
    </row>
    <row r="42" ht="15" customHeight="1">
      <c r="A42" t="s" s="33">
        <v>180</v>
      </c>
      <c r="B42" s="79"/>
      <c r="C42" s="79"/>
      <c r="D42" s="79"/>
      <c r="E42" s="80"/>
      <c r="F42" s="80"/>
      <c r="G42" s="80"/>
      <c r="H42" s="80"/>
      <c r="I42" s="80">
        <v>737</v>
      </c>
      <c r="J42" s="118">
        <v>657</v>
      </c>
      <c r="K42" s="35"/>
      <c r="L42" s="35"/>
      <c r="M42" s="35"/>
      <c r="N42" s="141"/>
    </row>
    <row r="43" ht="15" customHeight="1">
      <c r="A43" t="s" s="33">
        <v>30</v>
      </c>
      <c r="B43" s="80"/>
      <c r="C43" s="80"/>
      <c r="D43" s="80"/>
      <c r="E43" s="80"/>
      <c r="F43" s="80"/>
      <c r="G43" s="80"/>
      <c r="H43" s="80"/>
      <c r="I43" s="35"/>
      <c r="J43" s="35"/>
      <c r="K43" s="35"/>
      <c r="L43" s="35"/>
      <c r="M43" s="35"/>
      <c r="N43" s="36"/>
    </row>
    <row r="44" ht="15" customHeight="1">
      <c r="A44" t="s" s="33">
        <v>31</v>
      </c>
      <c r="B44" s="80"/>
      <c r="C44" s="80"/>
      <c r="D44" s="80"/>
      <c r="E44" s="80"/>
      <c r="F44" s="80"/>
      <c r="G44" s="80"/>
      <c r="H44" s="80"/>
      <c r="I44" s="35"/>
      <c r="J44" s="35"/>
      <c r="K44" s="35"/>
      <c r="L44" s="35"/>
      <c r="M44" s="35"/>
      <c r="N44" s="36"/>
    </row>
    <row r="45" ht="15" customHeight="1">
      <c r="A45" t="s" s="33">
        <v>32</v>
      </c>
      <c r="B45" s="80"/>
      <c r="C45" s="80"/>
      <c r="D45" s="80"/>
      <c r="E45" s="80"/>
      <c r="F45" s="80"/>
      <c r="G45" s="80"/>
      <c r="H45" s="80"/>
      <c r="I45" s="35"/>
      <c r="J45" s="35"/>
      <c r="K45" s="35"/>
      <c r="L45" s="35"/>
      <c r="M45" s="35"/>
      <c r="N45" s="36"/>
    </row>
    <row r="46" ht="15" customHeight="1">
      <c r="A46" t="s" s="33">
        <v>33</v>
      </c>
      <c r="B46" s="80"/>
      <c r="C46" s="80"/>
      <c r="D46" s="80"/>
      <c r="E46" s="80"/>
      <c r="F46" s="80"/>
      <c r="G46" s="80">
        <v>183</v>
      </c>
      <c r="H46" s="80"/>
      <c r="I46" s="80"/>
      <c r="J46" s="35"/>
      <c r="K46" s="80"/>
      <c r="L46" s="35"/>
      <c r="M46" s="35"/>
      <c r="N46" s="36"/>
    </row>
    <row r="47" ht="15" customHeight="1">
      <c r="A47" s="40">
        <v>1</v>
      </c>
      <c r="B47" s="80"/>
      <c r="C47" s="80"/>
      <c r="D47" s="80"/>
      <c r="E47" s="80"/>
      <c r="F47" s="80"/>
      <c r="G47" s="80"/>
      <c r="H47" s="80"/>
      <c r="I47" s="35"/>
      <c r="J47" s="35"/>
      <c r="K47" s="35"/>
      <c r="L47" s="35"/>
      <c r="M47" s="35"/>
      <c r="N47" s="36"/>
    </row>
    <row r="48" ht="15" customHeight="1">
      <c r="A48" s="40">
        <v>2</v>
      </c>
      <c r="B48" s="80"/>
      <c r="C48" s="80"/>
      <c r="D48" s="80"/>
      <c r="E48" s="80"/>
      <c r="F48" s="80"/>
      <c r="G48" s="80"/>
      <c r="H48" s="80"/>
      <c r="I48" s="35"/>
      <c r="J48" s="35"/>
      <c r="K48" s="35"/>
      <c r="L48" s="35"/>
      <c r="M48" s="35"/>
      <c r="N48" s="36"/>
    </row>
    <row r="49" ht="15" customHeight="1">
      <c r="A49" s="40">
        <v>3</v>
      </c>
      <c r="B49" s="80"/>
      <c r="C49" s="80"/>
      <c r="D49" s="80"/>
      <c r="E49" s="80"/>
      <c r="F49" s="80"/>
      <c r="G49" s="80"/>
      <c r="H49" s="80"/>
      <c r="I49" s="35"/>
      <c r="J49" s="35"/>
      <c r="K49" s="35"/>
      <c r="L49" s="35"/>
      <c r="M49" s="35"/>
      <c r="N49" s="36"/>
    </row>
    <row r="50" ht="15" customHeight="1">
      <c r="A50" t="s" s="33">
        <v>34</v>
      </c>
      <c r="B50" s="35"/>
      <c r="C50" s="35"/>
      <c r="D50" s="35"/>
      <c r="E50" s="35"/>
      <c r="F50" s="35"/>
      <c r="G50" s="35"/>
      <c r="H50" s="35"/>
      <c r="I50" s="35"/>
      <c r="J50" s="35"/>
      <c r="K50" s="35"/>
      <c r="L50" s="35"/>
      <c r="M50" s="35"/>
      <c r="N50" s="36"/>
    </row>
    <row r="51" ht="15" customHeight="1">
      <c r="A51" s="37"/>
      <c r="B51" s="83"/>
      <c r="C51" s="83"/>
      <c r="D51" s="83"/>
      <c r="E51" s="83"/>
      <c r="F51" s="83"/>
      <c r="G51" s="84"/>
      <c r="H51" s="83"/>
      <c r="I51" s="37"/>
      <c r="J51" s="37"/>
      <c r="K51" s="37"/>
      <c r="L51" s="37"/>
      <c r="M51" s="37"/>
      <c r="N51" s="11"/>
    </row>
    <row r="52" ht="15" customHeight="1">
      <c r="A52" t="s" s="32">
        <v>28</v>
      </c>
      <c r="B52" t="s" s="14">
        <v>9</v>
      </c>
      <c r="C52" t="s" s="14">
        <v>10</v>
      </c>
      <c r="D52" t="s" s="14">
        <v>11</v>
      </c>
      <c r="E52" t="s" s="14">
        <v>12</v>
      </c>
      <c r="F52" t="s" s="14">
        <v>13</v>
      </c>
      <c r="G52" t="s" s="14">
        <v>14</v>
      </c>
      <c r="H52" t="s" s="14">
        <v>15</v>
      </c>
      <c r="I52" t="s" s="14">
        <v>16</v>
      </c>
      <c r="J52" t="s" s="14">
        <v>17</v>
      </c>
      <c r="K52" t="s" s="14">
        <v>18</v>
      </c>
      <c r="L52" t="s" s="14">
        <v>19</v>
      </c>
      <c r="M52" t="s" s="14">
        <v>20</v>
      </c>
      <c r="N52" s="36"/>
    </row>
    <row r="53" ht="15" customHeight="1">
      <c r="A53" t="s" s="33">
        <v>35</v>
      </c>
      <c r="B53" s="17">
        <v>16</v>
      </c>
      <c r="C53" s="17">
        <v>6</v>
      </c>
      <c r="D53" s="17">
        <v>2</v>
      </c>
      <c r="E53" s="17">
        <v>31</v>
      </c>
      <c r="F53" s="17">
        <v>44</v>
      </c>
      <c r="G53" s="17">
        <v>13</v>
      </c>
      <c r="H53" s="17">
        <v>12</v>
      </c>
      <c r="I53" s="17">
        <v>9</v>
      </c>
      <c r="J53" s="17">
        <v>57</v>
      </c>
      <c r="K53" s="17">
        <v>72</v>
      </c>
      <c r="L53" s="17">
        <v>47</v>
      </c>
      <c r="M53" s="17">
        <v>33</v>
      </c>
      <c r="N53" s="36"/>
    </row>
    <row r="54" ht="15" customHeight="1">
      <c r="A54" t="s" s="33">
        <v>85</v>
      </c>
      <c r="B54" s="17">
        <v>55</v>
      </c>
      <c r="C54" s="17">
        <v>37</v>
      </c>
      <c r="D54" s="17">
        <v>30</v>
      </c>
      <c r="E54" s="17">
        <v>57</v>
      </c>
      <c r="F54" s="17">
        <v>33</v>
      </c>
      <c r="G54" s="17">
        <v>26</v>
      </c>
      <c r="H54" s="35"/>
      <c r="I54" s="35"/>
      <c r="J54" s="35"/>
      <c r="K54" s="35"/>
      <c r="L54" s="35"/>
      <c r="M54" s="35"/>
      <c r="N54" s="67" cm="1">
        <f t="array" ref="N54">SUM(B54:M54)</f>
        <v>238</v>
      </c>
    </row>
    <row r="55" ht="15" customHeight="1">
      <c r="A55" t="s" s="33">
        <v>37</v>
      </c>
      <c r="B55" s="35"/>
      <c r="C55" s="35"/>
      <c r="D55" s="35"/>
      <c r="E55" s="35"/>
      <c r="F55" s="35"/>
      <c r="G55" s="35"/>
      <c r="H55" s="35"/>
      <c r="I55" s="35"/>
      <c r="J55" s="35"/>
      <c r="K55" s="35"/>
      <c r="L55" s="35"/>
      <c r="M55" s="35"/>
      <c r="N55" s="67" cm="1">
        <f t="array" ref="N55">SUM(B55:M55)</f>
        <v>0</v>
      </c>
    </row>
    <row r="56" ht="15" customHeight="1">
      <c r="A56" t="s" s="33">
        <v>100</v>
      </c>
      <c r="B56" s="17">
        <v>43</v>
      </c>
      <c r="C56" s="17">
        <v>29</v>
      </c>
      <c r="D56" s="17">
        <v>28</v>
      </c>
      <c r="E56" s="17">
        <v>71</v>
      </c>
      <c r="F56" s="17">
        <v>30</v>
      </c>
      <c r="G56" s="17">
        <v>28</v>
      </c>
      <c r="H56" s="35"/>
      <c r="I56" s="35"/>
      <c r="J56" s="35"/>
      <c r="K56" s="35"/>
      <c r="L56" s="35"/>
      <c r="M56" s="35"/>
      <c r="N56" s="67" cm="1">
        <f t="array" ref="N56">SUM(B56:M56)</f>
        <v>229</v>
      </c>
    </row>
    <row r="57" ht="15" customHeight="1">
      <c r="A57" t="s" s="33">
        <v>101</v>
      </c>
      <c r="B57" s="17">
        <v>30</v>
      </c>
      <c r="C57" s="17">
        <v>23</v>
      </c>
      <c r="D57" s="17">
        <v>18</v>
      </c>
      <c r="E57" s="17">
        <v>16</v>
      </c>
      <c r="F57" s="17">
        <v>15</v>
      </c>
      <c r="G57" s="17">
        <v>15</v>
      </c>
      <c r="H57" s="35"/>
      <c r="I57" s="35"/>
      <c r="J57" s="35"/>
      <c r="K57" s="35"/>
      <c r="L57" s="35"/>
      <c r="M57" s="35"/>
      <c r="N57" s="67" cm="1">
        <f t="array" ref="N57">SUM(B57:M57)</f>
        <v>117</v>
      </c>
    </row>
    <row r="58" ht="15" customHeight="1">
      <c r="A58" t="s" s="33">
        <v>169</v>
      </c>
      <c r="B58" s="35"/>
      <c r="C58" s="35"/>
      <c r="D58" s="35"/>
      <c r="E58" s="35"/>
      <c r="F58" s="35"/>
      <c r="G58" s="35"/>
      <c r="H58" s="35"/>
      <c r="I58" s="35"/>
      <c r="J58" s="35"/>
      <c r="K58" s="35"/>
      <c r="L58" s="35"/>
      <c r="M58" s="35"/>
      <c r="N58" s="36"/>
    </row>
    <row r="59" ht="15" customHeight="1">
      <c r="A59" s="39"/>
      <c r="B59" s="35"/>
      <c r="C59" s="35"/>
      <c r="D59" s="35"/>
      <c r="E59" s="35"/>
      <c r="F59" s="35"/>
      <c r="G59" s="35"/>
      <c r="H59" s="35"/>
      <c r="I59" s="35"/>
      <c r="J59" s="35"/>
      <c r="K59" s="35"/>
      <c r="L59" s="35"/>
      <c r="M59" s="35"/>
      <c r="N59" s="36"/>
    </row>
    <row r="60" ht="29" customHeight="1">
      <c r="A60" t="s" s="68">
        <v>86</v>
      </c>
      <c r="B60" t="s" s="14">
        <v>9</v>
      </c>
      <c r="C60" t="s" s="14">
        <v>10</v>
      </c>
      <c r="D60" t="s" s="14">
        <v>11</v>
      </c>
      <c r="E60" t="s" s="14">
        <v>12</v>
      </c>
      <c r="F60" t="s" s="14">
        <v>13</v>
      </c>
      <c r="G60" t="s" s="14">
        <v>14</v>
      </c>
      <c r="H60" t="s" s="14">
        <v>15</v>
      </c>
      <c r="I60" t="s" s="14">
        <v>16</v>
      </c>
      <c r="J60" t="s" s="14">
        <v>17</v>
      </c>
      <c r="K60" t="s" s="14">
        <v>18</v>
      </c>
      <c r="L60" t="s" s="14">
        <v>19</v>
      </c>
      <c r="M60" t="s" s="14">
        <v>20</v>
      </c>
      <c r="N60" s="36"/>
    </row>
    <row r="61" ht="15" customHeight="1">
      <c r="A61" t="s" s="33">
        <v>39</v>
      </c>
      <c r="B61" s="35"/>
      <c r="C61" s="35"/>
      <c r="D61" s="35"/>
      <c r="E61" s="35"/>
      <c r="F61" s="35"/>
      <c r="G61" s="17">
        <v>416</v>
      </c>
      <c r="H61" s="35"/>
      <c r="I61" s="35"/>
      <c r="J61" s="35"/>
      <c r="K61" s="35"/>
      <c r="L61" s="35"/>
      <c r="M61" s="35"/>
      <c r="N61" s="36"/>
    </row>
    <row r="62" ht="15" customHeight="1">
      <c r="A62" t="s" s="33">
        <v>40</v>
      </c>
      <c r="B62" s="35"/>
      <c r="C62" s="142"/>
      <c r="D62" s="41"/>
      <c r="E62" s="41"/>
      <c r="F62" s="41"/>
      <c r="G62" s="122" cm="1">
        <f t="array" ref="G62">89*2</f>
        <v>178</v>
      </c>
      <c r="H62" s="35"/>
      <c r="I62" s="35"/>
      <c r="J62" s="35"/>
      <c r="K62" s="35"/>
      <c r="L62" s="35"/>
      <c r="M62" s="35"/>
      <c r="N62" s="36"/>
    </row>
    <row r="63" ht="15" customHeight="1">
      <c r="A63" t="s" s="33">
        <v>41</v>
      </c>
      <c r="B63" s="35"/>
      <c r="C63" s="35"/>
      <c r="D63" s="35"/>
      <c r="E63" s="35"/>
      <c r="F63" s="35"/>
      <c r="G63" s="17">
        <v>50</v>
      </c>
      <c r="H63" s="35"/>
      <c r="I63" s="35"/>
      <c r="J63" s="35"/>
      <c r="K63" s="35"/>
      <c r="L63" s="35"/>
      <c r="M63" s="35"/>
      <c r="N63" s="36"/>
    </row>
    <row r="64" ht="15" customHeight="1">
      <c r="A64" t="s" s="33">
        <v>42</v>
      </c>
      <c r="B64" s="39"/>
      <c r="C64" s="35"/>
      <c r="D64" s="35"/>
      <c r="E64" s="35"/>
      <c r="F64" s="35"/>
      <c r="G64" s="17">
        <v>251</v>
      </c>
      <c r="H64" s="35"/>
      <c r="I64" s="35"/>
      <c r="J64" s="35"/>
      <c r="K64" s="39"/>
      <c r="L64" s="39"/>
      <c r="M64" s="39"/>
      <c r="N64" s="36"/>
    </row>
    <row r="65" ht="15" customHeight="1">
      <c r="A65" t="s" s="33">
        <v>87</v>
      </c>
      <c r="B65" s="39"/>
      <c r="C65" s="35"/>
      <c r="D65" s="35"/>
      <c r="E65" s="35"/>
      <c r="F65" s="35"/>
      <c r="G65" s="17">
        <v>38</v>
      </c>
      <c r="H65" s="35"/>
      <c r="I65" s="35"/>
      <c r="J65" s="35"/>
      <c r="K65" s="39"/>
      <c r="L65" s="39"/>
      <c r="M65" s="39"/>
      <c r="N65" s="36"/>
    </row>
    <row r="66" ht="15" customHeight="1">
      <c r="A66" t="s" s="33">
        <v>88</v>
      </c>
      <c r="B66" s="39"/>
      <c r="C66" s="35"/>
      <c r="D66" s="35"/>
      <c r="E66" s="35"/>
      <c r="F66" s="35"/>
      <c r="G66" s="17">
        <v>74</v>
      </c>
      <c r="H66" s="35"/>
      <c r="I66" s="39"/>
      <c r="J66" s="39"/>
      <c r="K66" s="35"/>
      <c r="L66" s="39"/>
      <c r="M66" s="39"/>
      <c r="N66" s="36"/>
    </row>
    <row r="67" ht="15" customHeight="1">
      <c r="A67" t="s" s="33">
        <v>170</v>
      </c>
      <c r="B67" s="39"/>
      <c r="C67" s="35"/>
      <c r="D67" s="35"/>
      <c r="E67" s="35"/>
      <c r="F67" s="35"/>
      <c r="G67" s="17">
        <v>25</v>
      </c>
      <c r="H67" s="35"/>
      <c r="I67" s="35"/>
      <c r="J67" s="35"/>
      <c r="K67" s="35"/>
      <c r="L67" s="39"/>
      <c r="M67" s="39"/>
      <c r="N67" s="36"/>
    </row>
    <row r="68" ht="15" customHeight="1">
      <c r="A68" t="s" s="33">
        <v>125</v>
      </c>
      <c r="B68" s="39"/>
      <c r="C68" s="35"/>
      <c r="D68" s="35"/>
      <c r="E68" s="35"/>
      <c r="F68" s="35"/>
      <c r="G68" s="17">
        <v>56</v>
      </c>
      <c r="H68" s="35"/>
      <c r="I68" s="35"/>
      <c r="J68" s="35"/>
      <c r="K68" s="35"/>
      <c r="L68" s="39"/>
      <c r="M68" s="39"/>
      <c r="N68" s="36"/>
    </row>
    <row r="69" ht="15" customHeight="1">
      <c r="A69" t="s" s="33">
        <v>54</v>
      </c>
      <c r="B69" s="39"/>
      <c r="C69" s="35"/>
      <c r="D69" s="35"/>
      <c r="E69" s="35"/>
      <c r="F69" s="35"/>
      <c r="G69" s="35"/>
      <c r="H69" s="35"/>
      <c r="I69" s="35"/>
      <c r="J69" s="35"/>
      <c r="K69" s="35"/>
      <c r="L69" s="39"/>
      <c r="M69" s="39"/>
      <c r="N69" s="36"/>
    </row>
    <row r="70" ht="15" customHeight="1">
      <c r="A70" t="s" s="33">
        <v>22</v>
      </c>
      <c r="B70" s="17" cm="1">
        <f t="array" ref="B70">SUM(B61:B69)</f>
        <v>0</v>
      </c>
      <c r="C70" s="17" cm="1">
        <f t="array" ref="C70">SUM(C61:C69)</f>
        <v>0</v>
      </c>
      <c r="D70" s="17" cm="1">
        <f t="array" ref="D70">SUM(D61:D69)</f>
        <v>0</v>
      </c>
      <c r="E70" s="17" cm="1">
        <f t="array" ref="E70">SUM(E61:E69)</f>
        <v>0</v>
      </c>
      <c r="F70" s="17" cm="1">
        <f t="array" ref="F70">SUM(F61:F69)</f>
        <v>0</v>
      </c>
      <c r="G70" s="17" cm="1">
        <f t="array" ref="G70">SUM(G61:G69)</f>
        <v>1088</v>
      </c>
      <c r="H70" s="17" cm="1">
        <f t="array" ref="H70">SUM(H61:H69)</f>
        <v>0</v>
      </c>
      <c r="I70" s="17" cm="1">
        <f t="array" ref="I70">SUM(I61:I69)</f>
        <v>0</v>
      </c>
      <c r="J70" s="17" cm="1">
        <f t="array" ref="J70">SUM(J61:J69)</f>
        <v>0</v>
      </c>
      <c r="K70" s="17" cm="1">
        <f t="array" ref="K70">SUM(K61:K69)</f>
        <v>0</v>
      </c>
      <c r="L70" s="17" cm="1">
        <f t="array" ref="L70">SUM(L61:L69)</f>
        <v>0</v>
      </c>
      <c r="M70" s="17" cm="1">
        <f t="array" ref="M70">SUM(M61:M69)</f>
        <v>0</v>
      </c>
      <c r="N70" s="36"/>
    </row>
    <row r="71" ht="15" customHeight="1">
      <c r="A71" s="37"/>
      <c r="B71" s="37"/>
      <c r="C71" s="41"/>
      <c r="D71" s="41"/>
      <c r="E71" s="41"/>
      <c r="F71" s="41"/>
      <c r="G71" s="37"/>
      <c r="H71" s="37"/>
      <c r="I71" s="37"/>
      <c r="J71" s="37"/>
      <c r="K71" s="37"/>
      <c r="L71" s="37"/>
      <c r="M71" s="37"/>
      <c r="N71" s="11"/>
    </row>
    <row r="72" ht="15" customHeight="1">
      <c r="A72" s="37"/>
      <c r="B72" s="123">
        <v>43466</v>
      </c>
      <c r="C72" s="123">
        <v>43132</v>
      </c>
      <c r="D72" s="123">
        <v>43160</v>
      </c>
      <c r="E72" s="123">
        <v>43191</v>
      </c>
      <c r="F72" s="123">
        <v>43221</v>
      </c>
      <c r="G72" s="123">
        <v>43252</v>
      </c>
      <c r="H72" s="123">
        <v>43282</v>
      </c>
      <c r="I72" s="124">
        <v>42948</v>
      </c>
      <c r="J72" s="123">
        <v>42979</v>
      </c>
      <c r="K72" s="123">
        <v>43009</v>
      </c>
      <c r="L72" s="123">
        <v>43405</v>
      </c>
      <c r="M72" s="123">
        <v>43435</v>
      </c>
      <c r="N72" s="11"/>
    </row>
    <row r="73" ht="15" customHeight="1">
      <c r="A73" t="s" s="87">
        <v>102</v>
      </c>
      <c r="B73" s="104" cm="1">
        <f t="array" ref="B73">B74+B75</f>
        <v>0</v>
      </c>
      <c r="C73" s="104" cm="1">
        <f t="array" ref="C73">C74+C75</f>
        <v>0</v>
      </c>
      <c r="D73" s="104" cm="1">
        <f t="array" ref="D73">D74+D75</f>
        <v>0</v>
      </c>
      <c r="E73" s="104" cm="1">
        <f t="array" ref="E73">E74+E75</f>
        <v>0</v>
      </c>
      <c r="F73" s="104" cm="1">
        <f t="array" ref="F73">F74+F75</f>
        <v>0</v>
      </c>
      <c r="G73" s="104" cm="1">
        <f t="array" ref="G73">G74+G75</f>
        <v>0</v>
      </c>
      <c r="H73" s="104" cm="1">
        <f t="array" ref="H73">H74+H75</f>
        <v>0</v>
      </c>
      <c r="I73" s="104" cm="1">
        <f t="array" ref="I73">I74+I75</f>
        <v>0</v>
      </c>
      <c r="J73" s="104" cm="1">
        <f t="array" ref="J73">J74+J75</f>
        <v>0</v>
      </c>
      <c r="K73" s="104" cm="1">
        <f t="array" ref="K73">K74+K75</f>
        <v>0</v>
      </c>
      <c r="L73" s="104" cm="1">
        <f t="array" ref="L73">L74+L75</f>
        <v>0</v>
      </c>
      <c r="M73" s="104" cm="1">
        <f t="array" ref="M73">M74+M75</f>
        <v>0</v>
      </c>
      <c r="N73" s="11"/>
    </row>
    <row r="74" ht="15" customHeight="1">
      <c r="A74" t="s" s="87">
        <v>157</v>
      </c>
      <c r="B74" s="41"/>
      <c r="C74" s="41"/>
      <c r="D74" s="41"/>
      <c r="E74" s="41"/>
      <c r="F74" s="41"/>
      <c r="G74" s="143"/>
      <c r="H74" s="80"/>
      <c r="I74" s="136"/>
      <c r="J74" s="30"/>
      <c r="K74" s="30"/>
      <c r="L74" s="30"/>
      <c r="M74" s="30"/>
      <c r="N74" s="11"/>
    </row>
    <row r="75" ht="15" customHeight="1">
      <c r="A75" t="s" s="87">
        <v>158</v>
      </c>
      <c r="B75" s="41"/>
      <c r="C75" s="41"/>
      <c r="D75" s="41"/>
      <c r="E75" s="41"/>
      <c r="F75" s="41"/>
      <c r="G75" s="12"/>
      <c r="H75" s="30"/>
      <c r="I75" s="11"/>
      <c r="J75" s="63"/>
      <c r="K75" s="63"/>
      <c r="L75" s="11"/>
      <c r="M75" s="11"/>
      <c r="N75" s="11"/>
    </row>
    <row r="76" ht="15" customHeight="1">
      <c r="A76" s="37"/>
      <c r="B76" s="41"/>
      <c r="C76" s="41"/>
      <c r="D76" s="41"/>
      <c r="E76" s="41"/>
      <c r="F76" s="41"/>
      <c r="G76" s="12"/>
      <c r="H76" s="11"/>
      <c r="I76" s="11"/>
      <c r="J76" s="63"/>
      <c r="K76" s="63"/>
      <c r="L76" s="11"/>
      <c r="M76" s="11"/>
      <c r="N76" s="11"/>
    </row>
    <row r="77" ht="15" customHeight="1">
      <c r="A77" t="s" s="87">
        <v>105</v>
      </c>
      <c r="B77" s="41"/>
      <c r="C77" s="41"/>
      <c r="D77" s="41"/>
      <c r="E77" s="41"/>
      <c r="F77" s="41"/>
      <c r="G77" s="12"/>
      <c r="H77" s="11"/>
      <c r="I77" s="11"/>
      <c r="J77" s="63"/>
      <c r="K77" s="63"/>
      <c r="L77" s="11"/>
      <c r="M77" s="11"/>
      <c r="N77" s="11"/>
    </row>
    <row r="78" ht="15" customHeight="1">
      <c r="A78" t="s" s="87">
        <v>157</v>
      </c>
      <c r="B78" s="41"/>
      <c r="C78" s="41"/>
      <c r="D78" s="41"/>
      <c r="E78" s="41"/>
      <c r="F78" s="41"/>
      <c r="G78" s="12"/>
      <c r="H78" s="11"/>
      <c r="I78" s="63"/>
      <c r="J78" s="63"/>
      <c r="K78" s="63"/>
      <c r="L78" s="11"/>
      <c r="M78" s="11"/>
      <c r="N78" s="11"/>
    </row>
    <row r="79" ht="15" customHeight="1">
      <c r="A79" t="s" s="87">
        <v>171</v>
      </c>
      <c r="B79" s="41"/>
      <c r="C79" s="41"/>
      <c r="D79" s="41"/>
      <c r="E79" s="41"/>
      <c r="F79" s="41"/>
      <c r="G79" s="12"/>
      <c r="H79" s="11"/>
      <c r="I79" s="11"/>
      <c r="J79" s="63"/>
      <c r="K79" s="63"/>
      <c r="L79" s="11"/>
      <c r="M79" s="11"/>
      <c r="N79" s="11"/>
    </row>
    <row r="80" ht="15" customHeight="1">
      <c r="A80" t="s" s="87">
        <v>160</v>
      </c>
      <c r="B80" s="41"/>
      <c r="C80" s="41"/>
      <c r="D80" s="41"/>
      <c r="E80" s="41"/>
      <c r="F80" s="41"/>
      <c r="G80" s="12"/>
      <c r="H80" s="11"/>
      <c r="I80" s="11"/>
      <c r="J80" s="63"/>
      <c r="K80" s="63"/>
      <c r="L80" s="11"/>
      <c r="M80" s="11"/>
      <c r="N80" s="11"/>
    </row>
    <row r="81" ht="15" customHeight="1">
      <c r="A81" s="37"/>
      <c r="B81" s="41"/>
      <c r="C81" s="41"/>
      <c r="D81" s="41"/>
      <c r="E81" s="41"/>
      <c r="F81" s="41"/>
      <c r="G81" s="13"/>
      <c r="H81" s="13"/>
      <c r="I81" s="13"/>
      <c r="J81" s="13"/>
      <c r="K81" s="13"/>
      <c r="L81" s="13"/>
      <c r="M81" s="13"/>
      <c r="N81" s="11"/>
    </row>
    <row r="82" ht="15" customHeight="1">
      <c r="A82" t="s" s="88">
        <v>108</v>
      </c>
      <c r="B82" t="s" s="14">
        <v>9</v>
      </c>
      <c r="C82" t="s" s="14">
        <v>10</v>
      </c>
      <c r="D82" t="s" s="14">
        <v>11</v>
      </c>
      <c r="E82" t="s" s="14">
        <v>12</v>
      </c>
      <c r="F82" t="s" s="14">
        <v>13</v>
      </c>
      <c r="G82" t="s" s="14">
        <v>14</v>
      </c>
      <c r="H82" t="s" s="14">
        <v>15</v>
      </c>
      <c r="I82" t="s" s="14">
        <v>16</v>
      </c>
      <c r="J82" t="s" s="14">
        <v>17</v>
      </c>
      <c r="K82" t="s" s="14">
        <v>18</v>
      </c>
      <c r="L82" t="s" s="14">
        <v>19</v>
      </c>
      <c r="M82" t="s" s="14">
        <v>20</v>
      </c>
      <c r="N82" s="36"/>
    </row>
    <row r="83" ht="15" customHeight="1">
      <c r="A83" t="s" s="33">
        <v>109</v>
      </c>
      <c r="B83" s="17">
        <v>12</v>
      </c>
      <c r="C83" s="17">
        <v>19</v>
      </c>
      <c r="D83" s="17">
        <v>23</v>
      </c>
      <c r="E83" s="17">
        <v>22</v>
      </c>
      <c r="F83" s="17">
        <v>22</v>
      </c>
      <c r="G83" s="17">
        <v>22</v>
      </c>
      <c r="H83" s="17">
        <v>20</v>
      </c>
      <c r="I83" s="17">
        <v>20</v>
      </c>
      <c r="J83" s="17">
        <v>17</v>
      </c>
      <c r="K83" s="17">
        <v>22</v>
      </c>
      <c r="L83" s="17">
        <v>20</v>
      </c>
      <c r="M83" s="17">
        <v>34</v>
      </c>
      <c r="N83" s="36"/>
    </row>
    <row r="84" ht="15" customHeight="1">
      <c r="A84" t="s" s="33">
        <v>110</v>
      </c>
      <c r="B84" s="17">
        <v>12</v>
      </c>
      <c r="C84" s="17">
        <v>28</v>
      </c>
      <c r="D84" s="17">
        <v>34</v>
      </c>
      <c r="E84" s="17">
        <v>32</v>
      </c>
      <c r="F84" s="17">
        <v>35</v>
      </c>
      <c r="G84" s="17">
        <v>35</v>
      </c>
      <c r="H84" s="17">
        <v>28</v>
      </c>
      <c r="I84" s="17">
        <v>27</v>
      </c>
      <c r="J84" s="17">
        <v>27</v>
      </c>
      <c r="K84" s="17">
        <v>35</v>
      </c>
      <c r="L84" s="17">
        <v>29</v>
      </c>
      <c r="M84" s="17">
        <v>34</v>
      </c>
      <c r="N84" s="36"/>
    </row>
    <row r="85" ht="15" customHeight="1">
      <c r="A85" s="37"/>
      <c r="B85" s="37"/>
      <c r="C85" s="41"/>
      <c r="D85" s="41"/>
      <c r="E85" s="41"/>
      <c r="F85" s="41"/>
      <c r="G85" s="37"/>
      <c r="H85" s="37"/>
      <c r="I85" s="37"/>
      <c r="J85" s="37"/>
      <c r="K85" s="37"/>
      <c r="L85" s="37"/>
      <c r="M85" s="37"/>
      <c r="N85" s="11"/>
    </row>
    <row r="86" ht="15" customHeight="1">
      <c r="A86" t="s" s="32">
        <v>28</v>
      </c>
      <c r="B86" t="s" s="14">
        <v>9</v>
      </c>
      <c r="C86" t="s" s="14">
        <v>10</v>
      </c>
      <c r="D86" t="s" s="14">
        <v>11</v>
      </c>
      <c r="E86" t="s" s="14">
        <v>12</v>
      </c>
      <c r="F86" t="s" s="14">
        <v>13</v>
      </c>
      <c r="G86" t="s" s="14">
        <v>14</v>
      </c>
      <c r="H86" t="s" s="14">
        <v>15</v>
      </c>
      <c r="I86" t="s" s="14">
        <v>16</v>
      </c>
      <c r="J86" t="s" s="14">
        <v>17</v>
      </c>
      <c r="K86" t="s" s="14">
        <v>18</v>
      </c>
      <c r="L86" t="s" s="14">
        <v>19</v>
      </c>
      <c r="M86" t="s" s="14">
        <v>20</v>
      </c>
      <c r="N86" s="36"/>
    </row>
    <row r="87" ht="15" customHeight="1">
      <c r="A87" t="s" s="42">
        <v>45</v>
      </c>
      <c r="B87" s="69" cm="1">
        <f t="array" ref="B87">B70/B41</f>
      </c>
      <c r="C87" s="69" cm="1">
        <f t="array" ref="C87">C70/C41</f>
      </c>
      <c r="D87" s="69" cm="1">
        <f t="array" ref="D87">D70/D41</f>
      </c>
      <c r="E87" s="69" cm="1">
        <f t="array" ref="E87">E70/E41</f>
      </c>
      <c r="F87" s="69" cm="1">
        <f t="array" ref="F87">F70/F41</f>
      </c>
      <c r="G87" s="69" cm="1">
        <f t="array" ref="G87">G70/G41</f>
      </c>
      <c r="H87" s="69" cm="1">
        <f t="array" ref="H87">H70/H41</f>
      </c>
      <c r="I87" s="69" cm="1">
        <f t="array" ref="I87">I70/I41</f>
        <v>0</v>
      </c>
      <c r="J87" s="69" cm="1">
        <f t="array" ref="J87">J70/J41</f>
        <v>0</v>
      </c>
      <c r="K87" s="30" cm="1">
        <f t="array" ref="K87">K70/K41</f>
      </c>
      <c r="L87" s="30" cm="1">
        <f t="array" ref="L87">L70/L41</f>
      </c>
      <c r="M87" s="30" cm="1">
        <f t="array" ref="M87">M70/M41</f>
      </c>
      <c r="N87" s="11"/>
    </row>
    <row r="88" ht="15" customHeight="1">
      <c r="A88" s="11"/>
      <c r="B88" s="11"/>
      <c r="C88" s="12"/>
      <c r="D88" s="12"/>
      <c r="E88" s="12"/>
      <c r="F88" s="12"/>
      <c r="G88" s="11"/>
      <c r="H88" s="11"/>
      <c r="I88" s="11"/>
      <c r="J88" s="11"/>
      <c r="K88" s="11"/>
      <c r="L88" s="11"/>
      <c r="M88" s="11"/>
      <c r="N88" s="11"/>
    </row>
    <row r="89" ht="15" customHeight="1">
      <c r="A89" s="13"/>
      <c r="B89" s="13"/>
      <c r="C89" s="44"/>
      <c r="D89" s="44"/>
      <c r="E89" s="44"/>
      <c r="F89" s="44"/>
      <c r="G89" s="13"/>
      <c r="H89" s="13"/>
      <c r="I89" s="13"/>
      <c r="J89" s="13"/>
      <c r="K89" s="13"/>
      <c r="L89" s="13"/>
      <c r="M89" s="13"/>
      <c r="N89" s="11"/>
    </row>
    <row r="90" ht="15" customHeight="1">
      <c r="A90" t="s" s="32">
        <v>46</v>
      </c>
      <c r="B90" t="s" s="14">
        <v>9</v>
      </c>
      <c r="C90" t="s" s="14">
        <v>10</v>
      </c>
      <c r="D90" t="s" s="14">
        <v>11</v>
      </c>
      <c r="E90" t="s" s="14">
        <v>12</v>
      </c>
      <c r="F90" t="s" s="14">
        <v>13</v>
      </c>
      <c r="G90" t="s" s="14">
        <v>14</v>
      </c>
      <c r="H90" t="s" s="14">
        <v>15</v>
      </c>
      <c r="I90" t="s" s="14">
        <v>16</v>
      </c>
      <c r="J90" t="s" s="14">
        <v>17</v>
      </c>
      <c r="K90" t="s" s="14">
        <v>18</v>
      </c>
      <c r="L90" t="s" s="14">
        <v>19</v>
      </c>
      <c r="M90" t="s" s="14">
        <v>20</v>
      </c>
      <c r="N90" s="36"/>
    </row>
    <row r="91" ht="15" customHeight="1">
      <c r="A91" t="s" s="42">
        <v>47</v>
      </c>
      <c r="B91" s="89"/>
      <c r="C91" s="89"/>
      <c r="D91" s="89"/>
      <c r="E91" s="89"/>
      <c r="F91" s="89"/>
      <c r="G91" s="105" cm="1">
        <f t="array" ref="G91">104+17</f>
        <v>121</v>
      </c>
      <c r="H91" s="30"/>
      <c r="I91" s="30"/>
      <c r="J91" s="30"/>
      <c r="K91" s="30"/>
      <c r="L91" s="30"/>
      <c r="M91" s="30"/>
      <c r="N91" s="11"/>
    </row>
    <row r="92" ht="15" customHeight="1">
      <c r="A92" t="s" s="54">
        <v>48</v>
      </c>
      <c r="B92" s="12"/>
      <c r="C92" s="12"/>
      <c r="D92" s="12"/>
      <c r="E92" s="12"/>
      <c r="F92" s="12"/>
      <c r="G92" s="103">
        <v>58</v>
      </c>
      <c r="H92" s="11"/>
      <c r="I92" s="11"/>
      <c r="J92" s="11"/>
      <c r="K92" s="11"/>
      <c r="L92" s="11"/>
      <c r="M92" s="11"/>
      <c r="N92" s="11"/>
    </row>
    <row r="93" ht="15" customHeight="1">
      <c r="A93" t="s" s="54">
        <v>49</v>
      </c>
      <c r="B93" s="12"/>
      <c r="C93" s="12"/>
      <c r="D93" s="12"/>
      <c r="E93" s="12"/>
      <c r="F93" s="12"/>
      <c r="G93" s="103">
        <v>23</v>
      </c>
      <c r="H93" s="11"/>
      <c r="I93" s="11"/>
      <c r="J93" s="11"/>
      <c r="K93" s="11"/>
      <c r="L93" s="11"/>
      <c r="M93" s="11"/>
      <c r="N93" s="11"/>
    </row>
    <row r="94" ht="15" customHeight="1">
      <c r="A94" t="s" s="54">
        <v>50</v>
      </c>
      <c r="B94" s="103">
        <v>27</v>
      </c>
      <c r="C94" s="103">
        <v>27</v>
      </c>
      <c r="D94" s="103">
        <v>27</v>
      </c>
      <c r="E94" s="103">
        <v>27</v>
      </c>
      <c r="F94" s="103">
        <v>27</v>
      </c>
      <c r="G94" s="103">
        <v>25</v>
      </c>
      <c r="H94" s="103">
        <v>23</v>
      </c>
      <c r="I94" s="103">
        <v>23</v>
      </c>
      <c r="J94" s="55">
        <v>25</v>
      </c>
      <c r="K94" s="55">
        <v>25</v>
      </c>
      <c r="L94" s="55">
        <v>25</v>
      </c>
      <c r="M94" s="55">
        <v>25</v>
      </c>
      <c r="N94" s="11"/>
    </row>
    <row r="95" ht="15" customHeight="1">
      <c r="A95" t="s" s="54">
        <v>33</v>
      </c>
      <c r="B95" s="12"/>
      <c r="C95" s="12"/>
      <c r="D95" s="12"/>
      <c r="E95" s="12"/>
      <c r="F95" s="12"/>
      <c r="G95" s="103">
        <v>102</v>
      </c>
      <c r="H95" s="11"/>
      <c r="I95" s="11"/>
      <c r="J95" s="11"/>
      <c r="K95" s="11"/>
      <c r="L95" s="11"/>
      <c r="M95" s="11"/>
      <c r="N95" s="11"/>
    </row>
    <row r="96" ht="15" customHeight="1">
      <c r="A96" t="s" s="54">
        <v>54</v>
      </c>
      <c r="B96" s="12"/>
      <c r="C96" s="12"/>
      <c r="D96" s="103">
        <v>61</v>
      </c>
      <c r="E96" s="12"/>
      <c r="F96" s="12"/>
      <c r="G96" s="103">
        <v>58</v>
      </c>
      <c r="H96" s="11"/>
      <c r="I96" s="11"/>
      <c r="J96" s="11"/>
      <c r="K96" s="11"/>
      <c r="L96" s="11"/>
      <c r="M96" s="11"/>
      <c r="N96" s="11"/>
    </row>
    <row r="97" ht="15" customHeight="1">
      <c r="A97" t="s" s="54">
        <v>89</v>
      </c>
      <c r="B97" s="12"/>
      <c r="C97" s="12"/>
      <c r="D97" s="12"/>
      <c r="E97" s="12"/>
      <c r="F97" s="12"/>
      <c r="G97" s="103">
        <v>90</v>
      </c>
      <c r="H97" s="11"/>
      <c r="I97" s="11"/>
      <c r="J97" s="11"/>
      <c r="K97" s="11"/>
      <c r="L97" s="11"/>
      <c r="M97" s="11"/>
      <c r="N97" s="11"/>
    </row>
    <row r="98" ht="15" customHeight="1">
      <c r="A98" t="s" s="54">
        <v>51</v>
      </c>
      <c r="B98" s="12"/>
      <c r="C98" s="12"/>
      <c r="D98" s="12"/>
      <c r="E98" s="12"/>
      <c r="F98" s="12"/>
      <c r="G98" s="103">
        <v>68</v>
      </c>
      <c r="H98" s="11"/>
      <c r="I98" s="11"/>
      <c r="J98" s="11"/>
      <c r="K98" s="11"/>
      <c r="L98" s="11"/>
      <c r="M98" s="11"/>
      <c r="N98" s="11"/>
    </row>
    <row r="99" ht="15" customHeight="1">
      <c r="A99" t="s" s="54">
        <v>41</v>
      </c>
      <c r="B99" s="12"/>
      <c r="C99" s="12"/>
      <c r="D99" s="12"/>
      <c r="E99" s="12"/>
      <c r="F99" s="12"/>
      <c r="G99" s="103">
        <v>12</v>
      </c>
      <c r="H99" s="11"/>
      <c r="I99" s="11"/>
      <c r="J99" s="11"/>
      <c r="K99" s="11"/>
      <c r="L99" s="11"/>
      <c r="M99" s="11"/>
      <c r="N99" s="11"/>
    </row>
    <row r="100" ht="15" customHeight="1">
      <c r="A100" t="s" s="54">
        <v>40</v>
      </c>
      <c r="B100" s="12"/>
      <c r="C100" s="12"/>
      <c r="D100" s="12"/>
      <c r="E100" s="12"/>
      <c r="F100" s="12"/>
      <c r="G100" s="103">
        <v>72</v>
      </c>
      <c r="H100" s="11"/>
      <c r="I100" s="11"/>
      <c r="J100" s="11"/>
      <c r="K100" s="11"/>
      <c r="L100" s="11"/>
      <c r="M100" s="11"/>
      <c r="N100" s="11"/>
    </row>
    <row r="101" ht="15" customHeight="1">
      <c r="A101" t="s" s="54">
        <v>52</v>
      </c>
      <c r="B101" s="12"/>
      <c r="C101" s="12"/>
      <c r="D101" s="12"/>
      <c r="E101" s="12"/>
      <c r="F101" s="12"/>
      <c r="G101" s="103">
        <v>175</v>
      </c>
      <c r="H101" s="11"/>
      <c r="I101" s="11"/>
      <c r="J101" s="11"/>
      <c r="K101" s="11"/>
      <c r="L101" s="11"/>
      <c r="M101" s="11"/>
      <c r="N101" s="11"/>
    </row>
    <row r="102" ht="15" customHeight="1">
      <c r="A102" t="s" s="54">
        <v>170</v>
      </c>
      <c r="B102" s="12"/>
      <c r="C102" s="12"/>
      <c r="D102" s="12"/>
      <c r="E102" s="12"/>
      <c r="F102" s="12"/>
      <c r="G102" s="103">
        <v>25</v>
      </c>
      <c r="H102" s="11"/>
      <c r="I102" s="11"/>
      <c r="J102" s="11"/>
      <c r="K102" s="11"/>
      <c r="L102" s="11"/>
      <c r="M102" s="11"/>
      <c r="N102" s="11"/>
    </row>
    <row r="103" ht="15" customHeight="1">
      <c r="A103" t="s" s="54">
        <v>90</v>
      </c>
      <c r="B103" s="12"/>
      <c r="C103" s="12"/>
      <c r="D103" s="12"/>
      <c r="E103" s="12"/>
      <c r="F103" s="12"/>
      <c r="G103" s="103">
        <v>20</v>
      </c>
      <c r="H103" s="11"/>
      <c r="I103" s="11"/>
      <c r="J103" s="11"/>
      <c r="K103" s="11"/>
      <c r="L103" s="11"/>
      <c r="M103" s="11"/>
      <c r="N103" s="11"/>
    </row>
    <row r="104" ht="15" customHeight="1">
      <c r="A104" t="s" s="54">
        <v>88</v>
      </c>
      <c r="B104" s="12"/>
      <c r="C104" s="12"/>
      <c r="D104" s="12"/>
      <c r="E104" s="12"/>
      <c r="F104" s="12"/>
      <c r="G104" s="103">
        <v>16</v>
      </c>
      <c r="H104" s="11"/>
      <c r="I104" s="11"/>
      <c r="J104" s="11"/>
      <c r="K104" s="11"/>
      <c r="L104" s="11"/>
      <c r="M104" s="11"/>
      <c r="N104" s="11"/>
    </row>
    <row r="105" ht="15" customHeight="1">
      <c r="A105" t="s" s="54">
        <v>111</v>
      </c>
      <c r="B105" s="12"/>
      <c r="C105" s="12"/>
      <c r="D105" s="12"/>
      <c r="E105" s="12"/>
      <c r="F105" s="12"/>
      <c r="G105" s="103">
        <v>16</v>
      </c>
      <c r="H105" s="11"/>
      <c r="I105" s="11"/>
      <c r="J105" s="11"/>
      <c r="K105" s="11"/>
      <c r="L105" s="11"/>
      <c r="M105" s="11"/>
      <c r="N105" s="11"/>
    </row>
    <row r="106" ht="15" customHeight="1">
      <c r="A106" t="s" s="54">
        <v>112</v>
      </c>
      <c r="B106" s="12"/>
      <c r="C106" s="12"/>
      <c r="D106" s="12"/>
      <c r="E106" s="12"/>
      <c r="F106" s="12"/>
      <c r="G106" s="103">
        <v>26</v>
      </c>
      <c r="H106" s="11"/>
      <c r="I106" s="11"/>
      <c r="J106" s="11"/>
      <c r="K106" s="11"/>
      <c r="L106" s="11"/>
      <c r="M106" s="11"/>
      <c r="N106" s="11"/>
    </row>
    <row r="107" ht="15" customHeight="1">
      <c r="A107" t="s" s="54">
        <v>127</v>
      </c>
      <c r="B107" s="12"/>
      <c r="C107" s="12"/>
      <c r="D107" s="12"/>
      <c r="E107" s="12"/>
      <c r="F107" s="12"/>
      <c r="G107" s="103">
        <v>18</v>
      </c>
      <c r="H107" s="11"/>
      <c r="I107" s="11"/>
      <c r="J107" s="11"/>
      <c r="K107" s="11"/>
      <c r="L107" s="11"/>
      <c r="M107" s="11"/>
      <c r="N107" s="11"/>
    </row>
    <row r="108" ht="15" customHeight="1">
      <c r="A108" t="s" s="54">
        <v>125</v>
      </c>
      <c r="B108" s="12"/>
      <c r="C108" s="12"/>
      <c r="D108" s="12"/>
      <c r="E108" s="12"/>
      <c r="F108" s="12"/>
      <c r="G108" s="103">
        <v>14</v>
      </c>
      <c r="H108" s="11"/>
      <c r="I108" s="11"/>
      <c r="J108" s="11"/>
      <c r="K108" s="11"/>
      <c r="L108" s="11"/>
      <c r="M108" s="11"/>
      <c r="N108" s="11"/>
    </row>
    <row r="109" ht="15" customHeight="1">
      <c r="A109" t="s" s="54">
        <v>113</v>
      </c>
      <c r="B109" s="12"/>
      <c r="C109" s="12"/>
      <c r="D109" s="12"/>
      <c r="E109" s="12"/>
      <c r="F109" s="12"/>
      <c r="G109" s="103">
        <v>32</v>
      </c>
      <c r="H109" s="11"/>
      <c r="I109" s="11"/>
      <c r="J109" s="11"/>
      <c r="K109" s="11"/>
      <c r="L109" s="11"/>
      <c r="M109" s="11"/>
      <c r="N109" s="11"/>
    </row>
    <row r="110" ht="15" customHeight="1">
      <c r="A110" t="s" s="54">
        <v>22</v>
      </c>
      <c r="B110" s="103" cm="1">
        <f t="array" ref="B110">SUM(B91:B109)</f>
        <v>27</v>
      </c>
      <c r="C110" s="103" cm="1">
        <f t="array" ref="C110">SUM(C91:C109)</f>
        <v>27</v>
      </c>
      <c r="D110" s="103" cm="1">
        <f t="array" ref="D110">SUM(D91:D109)</f>
        <v>88</v>
      </c>
      <c r="E110" s="103" cm="1">
        <f t="array" ref="E110">SUM(E91:E109)</f>
        <v>27</v>
      </c>
      <c r="F110" s="103" cm="1">
        <f t="array" ref="F110">SUM(F91:F109)</f>
        <v>27</v>
      </c>
      <c r="G110" s="103" cm="1">
        <f t="array" ref="G110">SUM(G91:G109)</f>
        <v>971</v>
      </c>
      <c r="H110" s="55" cm="1">
        <f t="array" ref="H110">SUM(H91:H109)</f>
        <v>23</v>
      </c>
      <c r="I110" s="55" cm="1">
        <f t="array" ref="I110">SUM(I91:I109)</f>
        <v>23</v>
      </c>
      <c r="J110" s="55" cm="1">
        <f t="array" ref="J110">SUM(J91:J109)</f>
        <v>25</v>
      </c>
      <c r="K110" s="55" cm="1">
        <f t="array" ref="K110">SUM(K91:K109)</f>
        <v>25</v>
      </c>
      <c r="L110" s="55" cm="1">
        <f t="array" ref="L110">SUM(L91:L109)</f>
        <v>25</v>
      </c>
      <c r="M110" s="55" cm="1">
        <f t="array" ref="M110">SUM(M91:M109)</f>
        <v>25</v>
      </c>
      <c r="N110" s="11"/>
    </row>
    <row r="111" ht="15" customHeight="1">
      <c r="A111" s="13"/>
      <c r="B111" s="13"/>
      <c r="C111" s="13"/>
      <c r="D111" s="13"/>
      <c r="E111" s="13"/>
      <c r="F111" s="13"/>
      <c r="G111" s="13"/>
      <c r="H111" s="13"/>
      <c r="I111" s="13"/>
      <c r="J111" s="13"/>
      <c r="K111" s="13"/>
      <c r="L111" s="13"/>
      <c r="M111" s="13"/>
      <c r="N111" s="11"/>
    </row>
    <row r="112" ht="15" customHeight="1">
      <c r="A112" t="s" s="32">
        <v>28</v>
      </c>
      <c r="B112" t="s" s="14">
        <v>9</v>
      </c>
      <c r="C112" t="s" s="14">
        <v>10</v>
      </c>
      <c r="D112" t="s" s="14">
        <v>11</v>
      </c>
      <c r="E112" t="s" s="14">
        <v>12</v>
      </c>
      <c r="F112" t="s" s="14">
        <v>13</v>
      </c>
      <c r="G112" t="s" s="14">
        <v>14</v>
      </c>
      <c r="H112" t="s" s="14">
        <v>15</v>
      </c>
      <c r="I112" t="s" s="14">
        <v>16</v>
      </c>
      <c r="J112" t="s" s="14">
        <v>17</v>
      </c>
      <c r="K112" t="s" s="14">
        <v>18</v>
      </c>
      <c r="L112" t="s" s="14">
        <v>19</v>
      </c>
      <c r="M112" t="s" s="14">
        <v>20</v>
      </c>
      <c r="N112" s="36"/>
    </row>
    <row r="113" ht="15" customHeight="1">
      <c r="A113" t="s" s="42">
        <v>56</v>
      </c>
      <c r="B113" s="23" cm="1">
        <f t="array" ref="B113">B10</f>
        <v>235387461</v>
      </c>
      <c r="C113" s="23" cm="1">
        <f t="array" ref="C113">C10</f>
        <v>219943583</v>
      </c>
      <c r="D113" s="23" cm="1">
        <f t="array" ref="D113">D10</f>
        <v>243108017</v>
      </c>
      <c r="E113" s="23" cm="1">
        <f t="array" ref="E113">E10</f>
        <v>235474584</v>
      </c>
      <c r="F113" s="23" cm="1">
        <f t="array" ref="F113">F10</f>
        <v>308781714</v>
      </c>
      <c r="G113" s="23" cm="1">
        <f t="array" ref="G113">G10</f>
        <v>214679966</v>
      </c>
      <c r="H113" s="23" cm="1">
        <f t="array" ref="H113">H10</f>
        <v>330034611</v>
      </c>
      <c r="I113" s="23" cm="1">
        <f t="array" ref="I113">I10</f>
        <v>308860846</v>
      </c>
      <c r="J113" s="23" cm="1">
        <f t="array" ref="J113">J10</f>
        <v>240901031</v>
      </c>
      <c r="K113" s="23" cm="1">
        <f t="array" ref="K113">K10</f>
        <v>328210743</v>
      </c>
      <c r="L113" s="23" cm="1">
        <f t="array" ref="L113">L10</f>
        <v>288556787</v>
      </c>
      <c r="M113" s="23" cm="1">
        <f t="array" ref="M113">M10</f>
        <v>352724856</v>
      </c>
      <c r="N113" s="11"/>
    </row>
    <row r="114" ht="15" customHeight="1">
      <c r="A114" s="11"/>
      <c r="B114" s="11"/>
      <c r="C114" s="11"/>
      <c r="D114" s="11"/>
      <c r="E114" s="11"/>
      <c r="F114" s="11"/>
      <c r="G114" s="11"/>
      <c r="H114" s="11"/>
      <c r="I114" s="11"/>
      <c r="J114" s="11"/>
      <c r="K114" s="11"/>
      <c r="L114" s="11"/>
      <c r="M114" s="11"/>
      <c r="N114" s="11"/>
    </row>
    <row r="115" ht="15" customHeight="1">
      <c r="A115" s="11"/>
      <c r="B115" s="11"/>
      <c r="C115" s="11"/>
      <c r="D115" s="11"/>
      <c r="E115" s="11"/>
      <c r="F115" s="11"/>
      <c r="G115" s="11"/>
      <c r="H115" s="11"/>
      <c r="I115" s="11"/>
      <c r="J115" s="11"/>
      <c r="K115" s="11"/>
      <c r="L115" s="11"/>
      <c r="M115" s="11"/>
      <c r="N115" s="11"/>
    </row>
    <row r="116" ht="15" customHeight="1">
      <c r="A116" s="11"/>
      <c r="B116" s="11"/>
      <c r="C116" s="11"/>
      <c r="D116" s="11"/>
      <c r="E116" s="11"/>
      <c r="F116" s="11"/>
      <c r="G116" s="11"/>
      <c r="H116" s="11"/>
      <c r="I116" s="11"/>
      <c r="J116" s="11"/>
      <c r="K116" s="11"/>
      <c r="L116" s="11"/>
      <c r="M116" s="11"/>
      <c r="N116" s="11"/>
    </row>
    <row r="117" ht="15" customHeight="1">
      <c r="A117" t="s" s="54">
        <v>161</v>
      </c>
      <c r="B117" s="11"/>
      <c r="C117" s="11"/>
      <c r="D117" s="11"/>
      <c r="E117" s="11"/>
      <c r="F117" s="11"/>
      <c r="G117" s="11"/>
      <c r="H117" s="11"/>
      <c r="I117" s="11"/>
      <c r="J117" s="11"/>
      <c r="K117" s="11"/>
      <c r="L117" s="11"/>
      <c r="M117" s="11"/>
      <c r="N117" s="11"/>
    </row>
    <row r="118" ht="15" customHeight="1">
      <c r="A118" s="11"/>
      <c r="B118" s="11"/>
      <c r="C118" s="11"/>
      <c r="D118" s="11"/>
      <c r="E118" s="11"/>
      <c r="F118" s="11"/>
      <c r="G118" s="11"/>
      <c r="H118" s="11"/>
      <c r="I118" s="11"/>
      <c r="J118" s="11"/>
      <c r="K118" s="11"/>
      <c r="L118" s="11"/>
      <c r="M118" s="11"/>
      <c r="N118" s="11"/>
    </row>
    <row r="119" ht="15" customHeight="1">
      <c r="A119" s="11"/>
      <c r="B119" s="11"/>
      <c r="C119" s="11"/>
      <c r="D119" s="11"/>
      <c r="E119" s="11"/>
      <c r="F119" s="11"/>
      <c r="G119" s="11"/>
      <c r="H119" s="11"/>
      <c r="I119" s="11"/>
      <c r="J119" s="11"/>
      <c r="K119" s="11"/>
      <c r="L119" s="11"/>
      <c r="M119" s="11"/>
      <c r="N119" s="11"/>
    </row>
    <row r="120" ht="15" customHeight="1">
      <c r="A120" s="11"/>
      <c r="B120" s="11"/>
      <c r="C120" s="11"/>
      <c r="D120" s="11"/>
      <c r="E120" s="11"/>
      <c r="F120" s="11"/>
      <c r="G120" s="11"/>
      <c r="H120" s="11"/>
      <c r="I120" s="11"/>
      <c r="J120" s="11"/>
      <c r="K120" s="11"/>
      <c r="L120" s="11"/>
      <c r="M120" s="11"/>
      <c r="N120" s="11"/>
    </row>
    <row r="121" ht="15" customHeight="1">
      <c r="A121" s="16"/>
      <c r="B121" s="16"/>
      <c r="C121" s="16"/>
      <c r="D121" s="11"/>
      <c r="E121" s="11"/>
      <c r="F121" s="28"/>
      <c r="G121" s="11"/>
      <c r="H121" s="11"/>
      <c r="I121" s="11"/>
      <c r="J121" s="11"/>
      <c r="K121" s="11"/>
      <c r="L121" s="11"/>
      <c r="M121" s="11"/>
      <c r="N121" s="11"/>
    </row>
    <row r="122" ht="15" customHeight="1">
      <c r="A122" s="12"/>
      <c r="B122" s="12"/>
      <c r="C122" s="12"/>
      <c r="D122" s="11"/>
      <c r="E122" s="11"/>
      <c r="F122" s="28"/>
      <c r="G122" s="11"/>
      <c r="H122" s="11"/>
      <c r="I122" s="11"/>
      <c r="J122" s="11"/>
      <c r="K122" s="11"/>
      <c r="L122" s="11"/>
      <c r="M122" s="11"/>
      <c r="N122" s="11"/>
    </row>
    <row r="123" ht="15" customHeight="1">
      <c r="A123" s="12"/>
      <c r="B123" s="12"/>
      <c r="C123" s="12"/>
      <c r="D123" s="11"/>
      <c r="E123" s="11"/>
      <c r="F123" s="28"/>
      <c r="G123" s="11"/>
      <c r="H123" s="11"/>
      <c r="I123" s="11"/>
      <c r="J123" s="11"/>
      <c r="K123" s="11"/>
      <c r="L123" s="11"/>
      <c r="M123" s="11"/>
      <c r="N123" s="11"/>
    </row>
    <row r="124" ht="15" customHeight="1">
      <c r="A124" s="12"/>
      <c r="B124" s="12"/>
      <c r="C124" s="12"/>
      <c r="D124" s="11"/>
      <c r="E124" s="11"/>
      <c r="F124" s="28"/>
      <c r="G124" s="11"/>
      <c r="H124" s="11"/>
      <c r="I124" s="11"/>
      <c r="J124" s="11"/>
      <c r="K124" s="11"/>
      <c r="L124" s="11"/>
      <c r="M124" s="11"/>
      <c r="N124" s="11"/>
    </row>
    <row r="125" ht="15" customHeight="1">
      <c r="A125" s="12"/>
      <c r="B125" s="12"/>
      <c r="C125" s="12"/>
      <c r="D125" s="11"/>
      <c r="E125" s="11"/>
      <c r="F125" s="28"/>
      <c r="G125" s="11"/>
      <c r="H125" s="11"/>
      <c r="I125" s="11"/>
      <c r="J125" s="11"/>
      <c r="K125" s="11"/>
      <c r="L125" s="11"/>
      <c r="M125" s="11"/>
      <c r="N125" s="11"/>
    </row>
    <row r="126" ht="15" customHeight="1">
      <c r="A126" s="12"/>
      <c r="B126" s="12"/>
      <c r="C126" s="12"/>
      <c r="D126" s="11"/>
      <c r="E126" s="11"/>
      <c r="F126" s="28"/>
      <c r="G126" s="11"/>
      <c r="H126" s="11"/>
      <c r="I126" s="11"/>
      <c r="J126" s="11"/>
      <c r="K126" s="11"/>
      <c r="L126" s="11"/>
      <c r="M126" s="11"/>
      <c r="N126" s="11"/>
    </row>
    <row r="127" ht="15" customHeight="1">
      <c r="A127" s="12"/>
      <c r="B127" s="12"/>
      <c r="C127" s="12"/>
      <c r="D127" s="11"/>
      <c r="E127" s="11"/>
      <c r="F127" s="11"/>
      <c r="G127" s="11"/>
      <c r="H127" s="11"/>
      <c r="I127" s="11"/>
      <c r="J127" s="11"/>
      <c r="K127" s="11"/>
      <c r="L127" s="11"/>
      <c r="M127" s="11"/>
      <c r="N127" s="11"/>
    </row>
    <row r="128" ht="15" customHeight="1">
      <c r="A128" s="12"/>
      <c r="B128" s="12"/>
      <c r="C128" s="12"/>
      <c r="D128" s="11"/>
      <c r="E128" s="11"/>
      <c r="F128" s="11"/>
      <c r="G128" s="11"/>
      <c r="H128" s="11"/>
      <c r="I128" s="11"/>
      <c r="J128" s="11"/>
      <c r="K128" s="11"/>
      <c r="L128" s="11"/>
      <c r="M128" s="11"/>
      <c r="N128" s="11"/>
    </row>
    <row r="129" ht="15" customHeight="1">
      <c r="A129" s="11"/>
      <c r="B129" s="11"/>
      <c r="C129" s="11"/>
      <c r="D129" s="11"/>
      <c r="E129" s="11"/>
      <c r="F129" s="28"/>
      <c r="G129" s="11"/>
      <c r="H129" s="11"/>
      <c r="I129" s="11"/>
      <c r="J129" s="11"/>
      <c r="K129" s="11"/>
      <c r="L129" s="11"/>
      <c r="M129" s="11"/>
      <c r="N129" s="11"/>
    </row>
    <row r="130" ht="15" customHeight="1">
      <c r="A130" s="16"/>
      <c r="B130" s="16"/>
      <c r="C130" s="16"/>
      <c r="D130" s="11"/>
      <c r="E130" s="11"/>
      <c r="F130" s="11"/>
      <c r="G130" s="11"/>
      <c r="H130" s="11"/>
      <c r="I130" s="11"/>
      <c r="J130" s="11"/>
      <c r="K130" s="11"/>
      <c r="L130" s="11"/>
      <c r="M130" s="11"/>
      <c r="N130" s="11"/>
    </row>
    <row r="131" ht="15" customHeight="1">
      <c r="A131" s="12"/>
      <c r="B131" s="12"/>
      <c r="C131" s="113"/>
      <c r="D131" s="11"/>
      <c r="E131" s="11"/>
      <c r="F131" s="11"/>
      <c r="G131" s="11"/>
      <c r="H131" s="11"/>
      <c r="I131" s="11"/>
      <c r="J131" s="11"/>
      <c r="K131" s="11"/>
      <c r="L131" s="11"/>
      <c r="M131" s="11"/>
      <c r="N131" s="11"/>
    </row>
    <row r="132" ht="15" customHeight="1">
      <c r="A132" s="12"/>
      <c r="B132" s="12"/>
      <c r="C132" s="113"/>
      <c r="D132" s="11"/>
      <c r="E132" s="11"/>
      <c r="F132" s="11"/>
      <c r="G132" s="11"/>
      <c r="H132" s="11"/>
      <c r="I132" s="11"/>
      <c r="J132" s="11"/>
      <c r="K132" s="11"/>
      <c r="L132" s="11"/>
      <c r="M132" s="11"/>
      <c r="N132" s="11"/>
    </row>
    <row r="133" ht="15" customHeight="1">
      <c r="A133" s="11"/>
      <c r="B133" s="12"/>
      <c r="C133" s="11"/>
      <c r="D133" s="11"/>
      <c r="E133" s="11"/>
      <c r="F133" s="11"/>
      <c r="G133" s="11"/>
      <c r="H133" s="11"/>
      <c r="I133" s="11"/>
      <c r="J133" s="11"/>
      <c r="K133" s="11"/>
      <c r="L133" s="11"/>
      <c r="M133" s="11"/>
      <c r="N133" s="11"/>
    </row>
    <row r="134" ht="15" customHeight="1">
      <c r="A134" s="11"/>
      <c r="B134" s="11"/>
      <c r="C134" s="11"/>
      <c r="D134" s="11"/>
      <c r="E134" s="11"/>
      <c r="F134" s="11"/>
      <c r="G134" s="11"/>
      <c r="H134" s="11"/>
      <c r="I134" s="11"/>
      <c r="J134" s="11"/>
      <c r="K134" s="11"/>
      <c r="L134" s="11"/>
      <c r="M134" s="11"/>
      <c r="N134" s="11"/>
    </row>
    <row r="135" ht="15" customHeight="1">
      <c r="A135" s="16"/>
      <c r="B135" s="16"/>
      <c r="C135" s="16"/>
      <c r="D135" s="11"/>
      <c r="E135" s="11"/>
      <c r="F135" s="11"/>
      <c r="G135" s="11"/>
      <c r="H135" s="11"/>
      <c r="I135" s="11"/>
      <c r="J135" s="11"/>
      <c r="K135" s="11"/>
      <c r="L135" s="11"/>
      <c r="M135" s="11"/>
      <c r="N135" s="11"/>
    </row>
    <row r="136" ht="15" customHeight="1">
      <c r="A136" s="12"/>
      <c r="B136" s="12"/>
      <c r="C136" s="113"/>
      <c r="D136" s="11"/>
      <c r="E136" s="11"/>
      <c r="F136" s="11"/>
      <c r="G136" s="11"/>
      <c r="H136" s="11"/>
      <c r="I136" s="11"/>
      <c r="J136" s="11"/>
      <c r="K136" s="11"/>
      <c r="L136" s="11"/>
      <c r="M136" s="11"/>
      <c r="N136" s="11"/>
    </row>
    <row r="137" ht="15" customHeight="1">
      <c r="A137" s="12"/>
      <c r="B137" s="12"/>
      <c r="C137" s="113"/>
      <c r="D137" s="11"/>
      <c r="E137" s="11"/>
      <c r="F137" s="11"/>
      <c r="G137" s="11"/>
      <c r="H137" s="11"/>
      <c r="I137" s="11"/>
      <c r="J137" s="11"/>
      <c r="K137" s="11"/>
      <c r="L137" s="11"/>
      <c r="M137" s="11"/>
      <c r="N137" s="11"/>
    </row>
    <row r="138" ht="15" customHeight="1">
      <c r="A138" s="12"/>
      <c r="B138" s="12"/>
      <c r="C138" s="11"/>
      <c r="D138" s="11"/>
      <c r="E138" s="11"/>
      <c r="F138" s="11"/>
      <c r="G138" s="11"/>
      <c r="H138" s="11"/>
      <c r="I138" s="11"/>
      <c r="J138" s="11"/>
      <c r="K138" s="11"/>
      <c r="L138" s="11"/>
      <c r="M138" s="11"/>
      <c r="N138" s="11"/>
    </row>
    <row r="139" ht="15" customHeight="1">
      <c r="A139" s="11"/>
      <c r="B139" s="11"/>
      <c r="C139" s="11"/>
      <c r="D139" s="11"/>
      <c r="E139" s="11"/>
      <c r="F139" s="11"/>
      <c r="G139" s="11"/>
      <c r="H139" s="11"/>
      <c r="I139" s="11"/>
      <c r="J139" s="11"/>
      <c r="K139" s="11"/>
      <c r="L139" s="11"/>
      <c r="M139" s="11"/>
      <c r="N139" s="11"/>
    </row>
    <row r="140" ht="15" customHeight="1">
      <c r="A140" s="16"/>
      <c r="B140" s="16"/>
      <c r="C140" s="16"/>
      <c r="D140" s="11"/>
      <c r="E140" s="11"/>
      <c r="F140" s="11"/>
      <c r="G140" s="11"/>
      <c r="H140" s="11"/>
      <c r="I140" s="11"/>
      <c r="J140" s="11"/>
      <c r="K140" s="11"/>
      <c r="L140" s="11"/>
      <c r="M140" s="11"/>
      <c r="N140" s="11"/>
    </row>
    <row r="141" ht="15" customHeight="1">
      <c r="A141" s="12"/>
      <c r="B141" s="12"/>
      <c r="C141" s="113"/>
      <c r="D141" s="11"/>
      <c r="E141" s="11"/>
      <c r="F141" s="11"/>
      <c r="G141" s="11"/>
      <c r="H141" s="11"/>
      <c r="I141" s="11"/>
      <c r="J141" s="11"/>
      <c r="K141" s="11"/>
      <c r="L141" s="11"/>
      <c r="M141" s="11"/>
      <c r="N141" s="11"/>
    </row>
    <row r="142" ht="15" customHeight="1">
      <c r="A142" s="12"/>
      <c r="B142" s="12"/>
      <c r="C142" s="113"/>
      <c r="D142" s="11"/>
      <c r="E142" s="11"/>
      <c r="F142" s="11"/>
      <c r="G142" s="11"/>
      <c r="H142" s="11"/>
      <c r="I142" s="11"/>
      <c r="J142" s="11"/>
      <c r="K142" s="11"/>
      <c r="L142" s="11"/>
      <c r="M142" s="11"/>
      <c r="N142" s="11"/>
    </row>
    <row r="143" ht="15" customHeight="1">
      <c r="A143" s="12"/>
      <c r="B143" s="12"/>
      <c r="C143" s="113"/>
      <c r="D143" s="11"/>
      <c r="E143" s="11"/>
      <c r="F143" s="11"/>
      <c r="G143" s="11"/>
      <c r="H143" s="11"/>
      <c r="I143" s="11"/>
      <c r="J143" s="11"/>
      <c r="K143" s="11"/>
      <c r="L143" s="11"/>
      <c r="M143" s="11"/>
      <c r="N143" s="11"/>
    </row>
    <row r="144" ht="15" customHeight="1">
      <c r="A144" s="12"/>
      <c r="B144" s="12"/>
      <c r="C144" s="113"/>
      <c r="D144" s="11"/>
      <c r="E144" s="11"/>
      <c r="F144" s="11"/>
      <c r="G144" s="11"/>
      <c r="H144" s="11"/>
      <c r="I144" s="11"/>
      <c r="J144" s="11"/>
      <c r="K144" s="11"/>
      <c r="L144" s="11"/>
      <c r="M144" s="11"/>
      <c r="N144" s="11"/>
    </row>
    <row r="145" ht="15" customHeight="1">
      <c r="A145" s="12"/>
      <c r="B145" s="12"/>
      <c r="C145" s="113"/>
      <c r="D145" s="11"/>
      <c r="E145" s="11"/>
      <c r="F145" s="11"/>
      <c r="G145" s="11"/>
      <c r="H145" s="11"/>
      <c r="I145" s="11"/>
      <c r="J145" s="11"/>
      <c r="K145" s="11"/>
      <c r="L145" s="11"/>
      <c r="M145" s="11"/>
      <c r="N145" s="11"/>
    </row>
    <row r="146" ht="15" customHeight="1">
      <c r="A146" s="12"/>
      <c r="B146" s="12"/>
      <c r="C146" s="113"/>
      <c r="D146" s="11"/>
      <c r="E146" s="11"/>
      <c r="F146" s="11"/>
      <c r="G146" s="11"/>
      <c r="H146" s="11"/>
      <c r="I146" s="11"/>
      <c r="J146" s="11"/>
      <c r="K146" s="11"/>
      <c r="L146" s="11"/>
      <c r="M146" s="11"/>
      <c r="N146" s="11"/>
    </row>
    <row r="147" ht="15" customHeight="1">
      <c r="A147" s="12"/>
      <c r="B147" s="12"/>
      <c r="C147" s="12"/>
      <c r="D147" s="11"/>
      <c r="E147" s="11"/>
      <c r="F147" s="11"/>
      <c r="G147" s="11"/>
      <c r="H147" s="11"/>
      <c r="I147" s="11"/>
      <c r="J147" s="11"/>
      <c r="K147" s="11"/>
      <c r="L147" s="11"/>
      <c r="M147" s="11"/>
      <c r="N147" s="11"/>
    </row>
    <row r="148" ht="15" customHeight="1">
      <c r="A148" s="12"/>
      <c r="B148" s="11"/>
      <c r="C148" s="11"/>
      <c r="D148" s="11"/>
      <c r="E148" s="11"/>
      <c r="F148" s="11"/>
      <c r="G148" s="11"/>
      <c r="H148" s="11"/>
      <c r="I148" s="11"/>
      <c r="J148" s="11"/>
      <c r="K148" s="11"/>
      <c r="L148" s="11"/>
      <c r="M148" s="11"/>
      <c r="N148" s="11"/>
    </row>
    <row r="149" ht="15" customHeight="1">
      <c r="A149" s="11"/>
      <c r="B149" s="11"/>
      <c r="C149" s="11"/>
      <c r="D149" s="11"/>
      <c r="E149" s="11"/>
      <c r="F149" s="11"/>
      <c r="G149" s="11"/>
      <c r="H149" s="11"/>
      <c r="I149" s="11"/>
      <c r="J149" s="11"/>
      <c r="K149" s="11"/>
      <c r="L149" s="11"/>
      <c r="M149" s="11"/>
      <c r="N149" s="11"/>
    </row>
    <row r="150" ht="15" customHeight="1">
      <c r="A150" s="16"/>
      <c r="B150" s="16"/>
      <c r="C150" s="16"/>
      <c r="D150" s="11"/>
      <c r="E150" s="11"/>
      <c r="F150" s="11"/>
      <c r="G150" s="11"/>
      <c r="H150" s="11"/>
      <c r="I150" s="11"/>
      <c r="J150" s="11"/>
      <c r="K150" s="11"/>
      <c r="L150" s="11"/>
      <c r="M150" s="11"/>
      <c r="N150" s="11"/>
    </row>
    <row r="151" ht="15" customHeight="1">
      <c r="A151" s="12"/>
      <c r="B151" s="12"/>
      <c r="C151" s="113"/>
      <c r="D151" s="11"/>
      <c r="E151" s="11"/>
      <c r="F151" s="11"/>
      <c r="G151" s="11"/>
      <c r="H151" s="11"/>
      <c r="I151" s="11"/>
      <c r="J151" s="11"/>
      <c r="K151" s="11"/>
      <c r="L151" s="11"/>
      <c r="M151" s="11"/>
      <c r="N151" s="11"/>
    </row>
    <row r="152" ht="15" customHeight="1">
      <c r="A152" s="12"/>
      <c r="B152" s="12"/>
      <c r="C152" s="113"/>
      <c r="D152" s="11"/>
      <c r="E152" s="11"/>
      <c r="F152" s="11"/>
      <c r="G152" s="11"/>
      <c r="H152" s="11"/>
      <c r="I152" s="11"/>
      <c r="J152" s="11"/>
      <c r="K152" s="11"/>
      <c r="L152" s="11"/>
      <c r="M152" s="11"/>
      <c r="N152" s="11"/>
    </row>
    <row r="153" ht="15" customHeight="1">
      <c r="A153" s="12"/>
      <c r="B153" s="12"/>
      <c r="C153" s="113"/>
      <c r="D153" s="11"/>
      <c r="E153" s="11"/>
      <c r="F153" s="11"/>
      <c r="G153" s="11"/>
      <c r="H153" s="11"/>
      <c r="I153" s="11"/>
      <c r="J153" s="11"/>
      <c r="K153" s="11"/>
      <c r="L153" s="11"/>
      <c r="M153" s="11"/>
      <c r="N153" s="11"/>
    </row>
    <row r="154" ht="15" customHeight="1">
      <c r="A154" s="12"/>
      <c r="B154" s="12"/>
      <c r="C154" s="113"/>
      <c r="D154" s="11"/>
      <c r="E154" s="11"/>
      <c r="F154" s="11"/>
      <c r="G154" s="11"/>
      <c r="H154" s="11"/>
      <c r="I154" s="11"/>
      <c r="J154" s="11"/>
      <c r="K154" s="11"/>
      <c r="L154" s="11"/>
      <c r="M154" s="11"/>
      <c r="N154" s="11"/>
    </row>
    <row r="155" ht="15" customHeight="1">
      <c r="A155" s="12"/>
      <c r="B155" s="12"/>
      <c r="C155" s="113"/>
      <c r="D155" s="11"/>
      <c r="E155" s="11"/>
      <c r="F155" s="11"/>
      <c r="G155" s="11"/>
      <c r="H155" s="11"/>
      <c r="I155" s="11"/>
      <c r="J155" s="11"/>
      <c r="K155" s="11"/>
      <c r="L155" s="11"/>
      <c r="M155" s="11"/>
      <c r="N155" s="11"/>
    </row>
    <row r="156" ht="15" customHeight="1">
      <c r="A156" s="12"/>
      <c r="B156" s="12"/>
      <c r="C156" s="113"/>
      <c r="D156" s="11"/>
      <c r="E156" s="11"/>
      <c r="F156" s="11"/>
      <c r="G156" s="11"/>
      <c r="H156" s="11"/>
      <c r="I156" s="11"/>
      <c r="J156" s="11"/>
      <c r="K156" s="11"/>
      <c r="L156" s="11"/>
      <c r="M156" s="11"/>
      <c r="N156" s="11"/>
    </row>
    <row r="157" ht="15" customHeight="1">
      <c r="A157" s="12"/>
      <c r="B157" s="12"/>
      <c r="C157" s="113"/>
      <c r="D157" s="11"/>
      <c r="E157" s="11"/>
      <c r="F157" s="11"/>
      <c r="G157" s="11"/>
      <c r="H157" s="11"/>
      <c r="I157" s="11"/>
      <c r="J157" s="11"/>
      <c r="K157" s="11"/>
      <c r="L157" s="11"/>
      <c r="M157" s="11"/>
      <c r="N157" s="11"/>
    </row>
    <row r="158" ht="15" customHeight="1">
      <c r="A158" s="12"/>
      <c r="B158" s="12"/>
      <c r="C158" s="113"/>
      <c r="D158" s="11"/>
      <c r="E158" s="11"/>
      <c r="F158" s="11"/>
      <c r="G158" s="11"/>
      <c r="H158" s="11"/>
      <c r="I158" s="11"/>
      <c r="J158" s="11"/>
      <c r="K158" s="11"/>
      <c r="L158" s="11"/>
      <c r="M158" s="11"/>
      <c r="N158" s="11"/>
    </row>
    <row r="159" ht="15" customHeight="1">
      <c r="A159" s="12"/>
      <c r="B159" s="12"/>
      <c r="C159" s="12"/>
      <c r="D159" s="11"/>
      <c r="E159" s="11"/>
      <c r="F159" s="11"/>
      <c r="G159" s="11"/>
      <c r="H159" s="11"/>
      <c r="I159" s="11"/>
      <c r="J159" s="11"/>
      <c r="K159" s="11"/>
      <c r="L159" s="11"/>
      <c r="M159" s="11"/>
      <c r="N159" s="11"/>
    </row>
    <row r="160" ht="15" customHeight="1">
      <c r="A160" s="11"/>
      <c r="B160" s="11"/>
      <c r="C160" s="11"/>
      <c r="D160" s="11"/>
      <c r="E160" s="11"/>
      <c r="F160" s="11"/>
      <c r="G160" s="11"/>
      <c r="H160" s="11"/>
      <c r="I160" s="11"/>
      <c r="J160" s="11"/>
      <c r="K160" s="11"/>
      <c r="L160" s="11"/>
      <c r="M160" s="11"/>
      <c r="N160" s="11"/>
    </row>
    <row r="161" ht="15" customHeight="1">
      <c r="A161" s="11"/>
      <c r="B161" s="11"/>
      <c r="C161" s="11"/>
      <c r="D161" s="11"/>
      <c r="E161" s="11"/>
      <c r="F161" s="11"/>
      <c r="G161" s="11"/>
      <c r="H161" s="11"/>
      <c r="I161" s="11"/>
      <c r="J161" s="11"/>
      <c r="K161" s="11"/>
      <c r="L161" s="11"/>
      <c r="M161" s="11"/>
      <c r="N161" s="11"/>
    </row>
    <row r="162" ht="15" customHeight="1">
      <c r="A162" s="11"/>
      <c r="B162" s="11"/>
      <c r="C162" s="11"/>
      <c r="D162" s="11"/>
      <c r="E162" s="11"/>
      <c r="F162" s="11"/>
      <c r="G162" s="11"/>
      <c r="H162" s="11"/>
      <c r="I162" s="11"/>
      <c r="J162" s="11"/>
      <c r="K162" s="11"/>
      <c r="L162" s="11"/>
      <c r="M162" s="11"/>
      <c r="N162" s="11"/>
    </row>
    <row r="163" ht="15" customHeight="1">
      <c r="A163" s="11"/>
      <c r="B163" s="11"/>
      <c r="C163" s="11"/>
      <c r="D163" s="11"/>
      <c r="E163" s="11"/>
      <c r="F163" s="11"/>
      <c r="G163" s="11"/>
      <c r="H163" s="11"/>
      <c r="I163" s="11"/>
      <c r="J163" s="11"/>
      <c r="K163" s="11"/>
      <c r="L163" s="11"/>
      <c r="M163" s="11"/>
      <c r="N163" s="11"/>
    </row>
    <row r="164" ht="15" customHeight="1">
      <c r="A164" s="11"/>
      <c r="B164" s="11"/>
      <c r="C164" s="11"/>
      <c r="D164" s="11"/>
      <c r="E164" s="11"/>
      <c r="F164" s="11"/>
      <c r="G164" s="11"/>
      <c r="H164" s="11"/>
      <c r="I164" s="11"/>
      <c r="J164" s="11"/>
      <c r="K164" s="11"/>
      <c r="L164" s="11"/>
      <c r="M164" s="11"/>
      <c r="N164" s="11"/>
    </row>
    <row r="165" ht="15" customHeight="1">
      <c r="A165" s="11"/>
      <c r="B165" s="11"/>
      <c r="C165" s="11"/>
      <c r="D165" s="11"/>
      <c r="E165" s="11"/>
      <c r="F165" s="11"/>
      <c r="G165" s="11"/>
      <c r="H165" s="11"/>
      <c r="I165" s="11"/>
      <c r="J165" s="11"/>
      <c r="K165" s="11"/>
      <c r="L165" s="11"/>
      <c r="M165" s="11"/>
      <c r="N165" s="11"/>
    </row>
    <row r="166" ht="15" customHeight="1">
      <c r="A166" s="11"/>
      <c r="B166" s="11"/>
      <c r="C166" s="11"/>
      <c r="D166" s="11"/>
      <c r="E166" s="11"/>
      <c r="F166" s="11"/>
      <c r="G166" s="11"/>
      <c r="H166" s="11"/>
      <c r="I166" s="11"/>
      <c r="J166" s="11"/>
      <c r="K166" s="11"/>
      <c r="L166" s="11"/>
      <c r="M166" s="11"/>
      <c r="N166" s="11"/>
    </row>
    <row r="167" ht="15" customHeight="1">
      <c r="A167" s="11"/>
      <c r="B167" s="11"/>
      <c r="C167" s="11"/>
      <c r="D167" s="11"/>
      <c r="E167" s="11"/>
      <c r="F167" s="11"/>
      <c r="G167" s="11"/>
      <c r="H167" s="11"/>
      <c r="I167" s="11"/>
      <c r="J167" s="11"/>
      <c r="K167" s="11"/>
      <c r="L167" s="11"/>
      <c r="M167" s="11"/>
      <c r="N167" s="11"/>
    </row>
    <row r="168" ht="15" customHeight="1">
      <c r="A168" s="11"/>
      <c r="B168" s="11"/>
      <c r="C168" s="11"/>
      <c r="D168" s="11"/>
      <c r="E168" s="11"/>
      <c r="F168" s="11"/>
      <c r="G168" s="11"/>
      <c r="H168" s="11"/>
      <c r="I168" s="11"/>
      <c r="J168" s="11"/>
      <c r="K168" s="11"/>
      <c r="L168" s="11"/>
      <c r="M168" s="11"/>
      <c r="N168" s="11"/>
    </row>
  </sheetData>
  <mergeCells count="4">
    <mergeCell ref="A1:M1"/>
    <mergeCell ref="A2:M2"/>
    <mergeCell ref="A36:M36"/>
    <mergeCell ref="A37:M37"/>
  </mergeCells>
  <pageMargins left="0.75" right="0.75" top="1" bottom="1" header="0.5" footer="0.5"/>
  <pageSetup firstPageNumber="1" fitToHeight="1" fitToWidth="1" scale="100" useFirstPageNumber="0" orientation="portrait" pageOrder="downThenOver"/>
  <headerFooter>
    <oddFooter>&amp;C&amp;"Helvetica,Regular"&amp;12&amp;K000000&amp;P</oddFooter>
  </headerFooter>
</worksheet>
</file>

<file path=xl/worksheets/sheet9.xml><?xml version="1.0" encoding="utf-8"?>
<worksheet xmlns:r="http://schemas.openxmlformats.org/officeDocument/2006/relationships" xmlns="http://schemas.openxmlformats.org/spreadsheetml/2006/main">
  <dimension ref="A1:N171"/>
  <sheetViews>
    <sheetView workbookViewId="0" showGridLines="0" defaultGridColor="1"/>
  </sheetViews>
  <sheetFormatPr defaultColWidth="12.5" defaultRowHeight="15" customHeight="1" outlineLevelRow="0" outlineLevelCol="0"/>
  <cols>
    <col min="1" max="1" width="28.6875" style="144" customWidth="1"/>
    <col min="2" max="2" width="15.1719" style="144" customWidth="1"/>
    <col min="3" max="3" width="14.6719" style="144" customWidth="1"/>
    <col min="4" max="4" width="17.3516" style="144" customWidth="1"/>
    <col min="5" max="5" width="15" style="144" customWidth="1"/>
    <col min="6" max="6" width="17.1094" style="144" customWidth="1"/>
    <col min="7" max="7" width="16.7109" style="144" customWidth="1"/>
    <col min="8" max="12" width="16.5" style="144" customWidth="1"/>
    <col min="13" max="13" width="19" style="144" customWidth="1"/>
    <col min="14" max="14" width="15.9375" style="144" customWidth="1"/>
    <col min="15" max="16384" width="12.5" style="144" customWidth="1"/>
  </cols>
  <sheetData>
    <row r="1" ht="23" customHeight="1">
      <c r="A1" t="s" s="7">
        <v>6</v>
      </c>
      <c r="B1" s="8"/>
      <c r="C1" s="8"/>
      <c r="D1" s="9"/>
      <c r="E1" s="9"/>
      <c r="F1" s="9"/>
      <c r="G1" s="9"/>
      <c r="H1" s="9"/>
      <c r="I1" s="9"/>
      <c r="J1" s="9"/>
      <c r="K1" s="9"/>
      <c r="L1" s="9"/>
      <c r="M1" s="9"/>
      <c r="N1" s="10"/>
    </row>
    <row r="2" ht="23" customHeight="1">
      <c r="A2" t="s" s="7">
        <v>182</v>
      </c>
      <c r="B2" s="8"/>
      <c r="C2" s="8"/>
      <c r="D2" s="12"/>
      <c r="E2" s="12"/>
      <c r="F2" s="12"/>
      <c r="G2" s="12"/>
      <c r="H2" s="12"/>
      <c r="I2" s="12"/>
      <c r="J2" s="12"/>
      <c r="K2" s="12"/>
      <c r="L2" s="12"/>
      <c r="M2" s="12"/>
      <c r="N2" s="10"/>
    </row>
    <row r="3" ht="15" customHeight="1">
      <c r="A3" s="13"/>
      <c r="B3" s="13"/>
      <c r="C3" s="13"/>
      <c r="D3" s="13"/>
      <c r="E3" s="13"/>
      <c r="F3" s="13"/>
      <c r="G3" s="13"/>
      <c r="H3" s="13"/>
      <c r="I3" s="13"/>
      <c r="J3" s="13"/>
      <c r="K3" s="13"/>
      <c r="L3" s="13"/>
      <c r="M3" s="13"/>
      <c r="N3" s="72"/>
    </row>
    <row r="4" ht="15" customHeight="1">
      <c r="A4" t="s" s="14">
        <v>8</v>
      </c>
      <c r="B4" t="s" s="14">
        <v>9</v>
      </c>
      <c r="C4" t="s" s="14">
        <v>10</v>
      </c>
      <c r="D4" t="s" s="14">
        <v>11</v>
      </c>
      <c r="E4" t="s" s="14">
        <v>12</v>
      </c>
      <c r="F4" t="s" s="14">
        <v>13</v>
      </c>
      <c r="G4" t="s" s="14">
        <v>14</v>
      </c>
      <c r="H4" t="s" s="14">
        <v>15</v>
      </c>
      <c r="I4" t="s" s="14">
        <v>16</v>
      </c>
      <c r="J4" t="s" s="14">
        <v>17</v>
      </c>
      <c r="K4" t="s" s="14">
        <v>18</v>
      </c>
      <c r="L4" t="s" s="14">
        <v>19</v>
      </c>
      <c r="M4" t="s" s="14">
        <v>20</v>
      </c>
      <c r="N4" t="s" s="73">
        <v>183</v>
      </c>
    </row>
    <row r="5" ht="15" customHeight="1">
      <c r="A5" s="17">
        <v>1</v>
      </c>
      <c r="B5" s="129">
        <v>142201015</v>
      </c>
      <c r="C5" s="129">
        <v>75940231</v>
      </c>
      <c r="D5" s="138">
        <v>97295418</v>
      </c>
      <c r="E5" s="129">
        <v>84775877</v>
      </c>
      <c r="F5" s="129">
        <v>54444470</v>
      </c>
      <c r="G5" s="129">
        <v>67268916</v>
      </c>
      <c r="H5" s="130">
        <v>85676614</v>
      </c>
      <c r="I5" s="129">
        <v>76346591</v>
      </c>
      <c r="J5" s="129">
        <v>83286465</v>
      </c>
      <c r="K5" s="129">
        <v>64205335</v>
      </c>
      <c r="L5" s="129">
        <v>87727349</v>
      </c>
      <c r="M5" s="129">
        <v>72242413</v>
      </c>
      <c r="N5" s="75"/>
    </row>
    <row r="6" ht="15" customHeight="1">
      <c r="A6" s="17">
        <v>2</v>
      </c>
      <c r="B6" s="129">
        <v>83022500</v>
      </c>
      <c r="C6" s="129">
        <v>46424830</v>
      </c>
      <c r="D6" s="138">
        <v>56872632</v>
      </c>
      <c r="E6" s="129">
        <v>82640183</v>
      </c>
      <c r="F6" s="129">
        <v>80440957</v>
      </c>
      <c r="G6" s="129">
        <v>38883157</v>
      </c>
      <c r="H6" s="130">
        <v>54835085</v>
      </c>
      <c r="I6" s="129">
        <v>45033980</v>
      </c>
      <c r="J6" s="129" cm="1">
        <f t="array" ref="J6">74223745+110000</f>
        <v>74333745</v>
      </c>
      <c r="K6" s="129">
        <v>75819567</v>
      </c>
      <c r="L6" s="129">
        <v>55826166</v>
      </c>
      <c r="M6" s="129">
        <v>69581699</v>
      </c>
      <c r="N6" s="19"/>
    </row>
    <row r="7" ht="15" customHeight="1">
      <c r="A7" s="17">
        <v>3</v>
      </c>
      <c r="B7" s="129">
        <v>30362850</v>
      </c>
      <c r="C7" s="129">
        <v>41218674</v>
      </c>
      <c r="D7" s="129">
        <v>66860269</v>
      </c>
      <c r="E7" s="129">
        <v>33249916</v>
      </c>
      <c r="F7" s="129">
        <v>33259030</v>
      </c>
      <c r="G7" s="129">
        <v>55368288</v>
      </c>
      <c r="H7" s="130">
        <v>44482489</v>
      </c>
      <c r="I7" s="129">
        <v>42833442</v>
      </c>
      <c r="J7" s="129">
        <v>53435133</v>
      </c>
      <c r="K7" s="129">
        <v>39293120</v>
      </c>
      <c r="L7" s="129">
        <v>47377084</v>
      </c>
      <c r="M7" s="129">
        <v>71949732</v>
      </c>
      <c r="N7" s="19"/>
    </row>
    <row r="8" ht="15" customHeight="1">
      <c r="A8" s="17">
        <v>4</v>
      </c>
      <c r="B8" s="129">
        <v>45359391</v>
      </c>
      <c r="C8" s="129">
        <v>42597800</v>
      </c>
      <c r="D8" s="129">
        <v>37100308</v>
      </c>
      <c r="E8" s="129">
        <v>55432505</v>
      </c>
      <c r="F8" s="129">
        <v>42432121</v>
      </c>
      <c r="G8" s="129">
        <v>35759731</v>
      </c>
      <c r="H8" s="130">
        <v>55957869</v>
      </c>
      <c r="I8" s="129">
        <v>51325600</v>
      </c>
      <c r="J8" s="129">
        <v>38651283</v>
      </c>
      <c r="K8" s="129">
        <v>46903500</v>
      </c>
      <c r="L8" s="129">
        <v>42431158</v>
      </c>
      <c r="M8" s="129">
        <v>53107841</v>
      </c>
      <c r="N8" s="19"/>
    </row>
    <row r="9" ht="15" customHeight="1">
      <c r="A9" s="17">
        <v>5</v>
      </c>
      <c r="B9" s="129" cm="1">
        <f t="array" ref="B9">50678504</f>
        <v>50678504</v>
      </c>
      <c r="C9" s="129"/>
      <c r="D9" s="129"/>
      <c r="E9" s="129"/>
      <c r="F9" s="129" cm="1">
        <f t="array" ref="F9">60505321</f>
        <v>60505321</v>
      </c>
      <c r="G9" s="129"/>
      <c r="H9" s="129">
        <v>61419625</v>
      </c>
      <c r="I9" s="129"/>
      <c r="J9" s="129"/>
      <c r="K9" s="129">
        <v>49365619</v>
      </c>
      <c r="L9" s="129"/>
      <c r="M9" s="129">
        <v>37008728</v>
      </c>
      <c r="N9" s="19"/>
    </row>
    <row r="10" ht="15" customHeight="1">
      <c r="A10" t="s" s="20">
        <v>184</v>
      </c>
      <c r="B10" s="129" cm="1">
        <f t="array" ref="B10">100977251</f>
        <v>100977251</v>
      </c>
      <c r="C10" s="129">
        <v>88695748</v>
      </c>
      <c r="D10" s="129">
        <v>95258916</v>
      </c>
      <c r="E10" s="129">
        <v>95025863</v>
      </c>
      <c r="F10" s="129" cm="1">
        <f t="array" ref="F10">116454249</f>
        <v>116454249</v>
      </c>
      <c r="G10" s="129">
        <v>93922725</v>
      </c>
      <c r="H10" s="130">
        <v>102654804</v>
      </c>
      <c r="I10" s="129">
        <v>94457292</v>
      </c>
      <c r="J10" s="129">
        <v>96405310</v>
      </c>
      <c r="K10" s="129">
        <v>93113749</v>
      </c>
      <c r="L10" s="129">
        <v>82613290</v>
      </c>
      <c r="M10" s="129">
        <v>106421561</v>
      </c>
      <c r="N10" s="19"/>
    </row>
    <row r="11" ht="15" customHeight="1">
      <c r="A11" t="s" s="20">
        <v>22</v>
      </c>
      <c r="B11" s="18" cm="1">
        <f t="array" ref="B11">SUM(B5:B10)</f>
        <v>452601511</v>
      </c>
      <c r="C11" s="18" cm="1">
        <f t="array" ref="C11">SUM(C5:C10)</f>
        <v>294877283</v>
      </c>
      <c r="D11" s="18" cm="1">
        <f t="array" ref="D11">SUM(D5:D10)</f>
        <v>353387543</v>
      </c>
      <c r="E11" s="18" cm="1">
        <f t="array" ref="E11">SUM(E5:E10)</f>
        <v>351124344</v>
      </c>
      <c r="F11" s="18" cm="1">
        <f t="array" ref="F11">SUM(F5:F10)</f>
        <v>387536148</v>
      </c>
      <c r="G11" s="18" cm="1">
        <f t="array" ref="G11">SUM(G5:G10)</f>
        <v>291202817</v>
      </c>
      <c r="H11" s="18" cm="1">
        <f t="array" ref="H11">SUM(H5:H10)</f>
        <v>405026486</v>
      </c>
      <c r="I11" s="18" cm="1">
        <f t="array" ref="I11">SUM(I5:I10)</f>
        <v>309996905</v>
      </c>
      <c r="J11" s="18" cm="1">
        <f t="array" ref="J11">SUM(J5:J10)</f>
        <v>346111936</v>
      </c>
      <c r="K11" s="18" cm="1">
        <f t="array" ref="K11">SUM(K5:K10)</f>
        <v>368700890</v>
      </c>
      <c r="L11" s="18" cm="1">
        <f t="array" ref="L11">SUM(L5:L10)</f>
        <v>315975047</v>
      </c>
      <c r="M11" s="18" cm="1">
        <f t="array" ref="M11">SUM(M5:M10)</f>
        <v>410311974</v>
      </c>
      <c r="N11" s="61"/>
    </row>
    <row r="12" ht="15" customHeight="1">
      <c r="A12" t="s" s="20">
        <v>23</v>
      </c>
      <c r="B12" s="18" cm="1">
        <f t="array" ref="B12">AVERAGE(B5:B10)</f>
        <v>75433585.1666667</v>
      </c>
      <c r="C12" s="18" cm="1">
        <f t="array" ref="C12">AVERAGE(C5:C10)</f>
        <v>58975456.6</v>
      </c>
      <c r="D12" s="18" cm="1">
        <f t="array" ref="D12">AVERAGE(D5:D10)</f>
        <v>70677508.59999999</v>
      </c>
      <c r="E12" s="18" cm="1">
        <f t="array" ref="E12">AVERAGE(E5:E10)</f>
        <v>70224868.8</v>
      </c>
      <c r="F12" s="18" cm="1">
        <f t="array" ref="F12">AVERAGE(F5:F10)</f>
        <v>64589358</v>
      </c>
      <c r="G12" s="18" cm="1">
        <f t="array" ref="G12">AVERAGE(G5:G10)</f>
        <v>58240563.4</v>
      </c>
      <c r="H12" s="18" cm="1">
        <f t="array" ref="H12">AVERAGE(H5:H10)</f>
        <v>67504414.3333333</v>
      </c>
      <c r="I12" s="18" cm="1">
        <f t="array" ref="I12">AVERAGE(I5:I10)</f>
        <v>61999381</v>
      </c>
      <c r="J12" s="18" cm="1">
        <f t="array" ref="J12">AVERAGE(J5:J10)</f>
        <v>69222387.2</v>
      </c>
      <c r="K12" s="18" cm="1">
        <f t="array" ref="K12">AVERAGE(K5:K10)</f>
        <v>61450148.3333333</v>
      </c>
      <c r="L12" s="18" cm="1">
        <f t="array" ref="L12">AVERAGE(L5:L10)</f>
        <v>63195009.4</v>
      </c>
      <c r="M12" s="18" cm="1">
        <f t="array" ref="M12">AVERAGE(M5:M10)</f>
        <v>68385329</v>
      </c>
      <c r="N12" s="21"/>
    </row>
    <row r="13" ht="15" customHeight="1">
      <c r="A13" t="s" s="22">
        <v>24</v>
      </c>
      <c r="B13" s="23"/>
      <c r="C13" s="24" cm="1">
        <f t="array" ref="C13">C11/B11-1</f>
        <v>-0.348483653206363</v>
      </c>
      <c r="D13" s="24" cm="1">
        <f t="array" ref="D13">D11/C11-1</f>
        <v>0.198422406109866</v>
      </c>
      <c r="E13" s="24" cm="1">
        <f t="array" ref="E13">E11/D11-1</f>
        <v>-0.00640429761837983</v>
      </c>
      <c r="F13" s="24" cm="1">
        <f t="array" ref="F13">F11/E11-1</f>
        <v>0.103700596732194</v>
      </c>
      <c r="G13" s="24" cm="1">
        <f t="array" ref="G13">G11/F11-1</f>
        <v>-0.248578955788145</v>
      </c>
      <c r="H13" s="24" cm="1">
        <f t="array" ref="H13">H11/G11-1</f>
        <v>0.390874202978606</v>
      </c>
      <c r="I13" s="24" cm="1">
        <f t="array" ref="I13">I11/H11-1</f>
        <v>-0.234625596806032</v>
      </c>
      <c r="J13" s="24" cm="1">
        <f t="array" ref="J13">J11/I11-1</f>
        <v>0.116501263133579</v>
      </c>
      <c r="K13" s="24" cm="1">
        <f t="array" ref="K13">K11/J11-1</f>
        <v>0.0652648800878107</v>
      </c>
      <c r="L13" s="24" cm="1">
        <f t="array" ref="L13">L11/K11-1</f>
        <v>-0.143004382224301</v>
      </c>
      <c r="M13" s="24" cm="1">
        <f t="array" ref="M13">M11/L11-1</f>
        <v>0.298558154815307</v>
      </c>
      <c r="N13" s="10"/>
    </row>
    <row r="14" ht="15" customHeight="1">
      <c r="A14" t="s" s="25">
        <v>185</v>
      </c>
      <c r="B14" s="26" cm="1">
        <f t="array" ref="B14">B11</f>
        <v>452601511</v>
      </c>
      <c r="C14" s="26" cm="1">
        <f t="array" ref="C14">C11+B14</f>
        <v>747478794</v>
      </c>
      <c r="D14" s="26" cm="1">
        <f t="array" ref="D14">D11+C14</f>
        <v>1100866337</v>
      </c>
      <c r="E14" s="26" cm="1">
        <f t="array" ref="E14">E11+D14</f>
        <v>1451990681</v>
      </c>
      <c r="F14" s="26" cm="1">
        <f t="array" ref="F14">F11+E14</f>
        <v>1839526829</v>
      </c>
      <c r="G14" s="26" cm="1">
        <f t="array" ref="G14">G11+F14</f>
        <v>2130729646</v>
      </c>
      <c r="H14" s="26" cm="1">
        <f t="array" ref="H14">H11+G14</f>
        <v>2535756132</v>
      </c>
      <c r="I14" s="26" cm="1">
        <f t="array" ref="I14">I11+H14</f>
        <v>2845753037</v>
      </c>
      <c r="J14" s="26" cm="1">
        <f t="array" ref="J14">J11+I14</f>
        <v>3191864973</v>
      </c>
      <c r="K14" s="26" cm="1">
        <f t="array" ref="K14">K11+J14</f>
        <v>3560565863</v>
      </c>
      <c r="L14" s="26" cm="1">
        <f t="array" ref="L14">L11+K14</f>
        <v>3876540910</v>
      </c>
      <c r="M14" s="26" cm="1">
        <f t="array" ref="M14">M11+L14</f>
        <v>4286852884</v>
      </c>
      <c r="N14" s="76"/>
    </row>
    <row r="15" ht="15" customHeight="1">
      <c r="A15" t="s" s="25">
        <v>176</v>
      </c>
      <c r="B15" s="26">
        <v>235387461</v>
      </c>
      <c r="C15" s="26">
        <v>455331044</v>
      </c>
      <c r="D15" s="26">
        <v>698439061</v>
      </c>
      <c r="E15" s="26">
        <v>933913645</v>
      </c>
      <c r="F15" s="26">
        <v>1242695359</v>
      </c>
      <c r="G15" s="26">
        <v>1457375325</v>
      </c>
      <c r="H15" s="26">
        <v>1787409936</v>
      </c>
      <c r="I15" s="26">
        <v>2096270782</v>
      </c>
      <c r="J15" s="26">
        <v>2337171813</v>
      </c>
      <c r="K15" s="26">
        <v>2665382556</v>
      </c>
      <c r="L15" s="26">
        <v>2953939343</v>
      </c>
      <c r="M15" s="26">
        <v>3306664199</v>
      </c>
      <c r="N15" s="57"/>
    </row>
    <row r="16" ht="15" customHeight="1">
      <c r="A16" t="s" s="25">
        <v>186</v>
      </c>
      <c r="B16" s="28" cm="1">
        <f t="array" ref="B16">B14/B15-1</f>
        <v>0.922793631730451</v>
      </c>
      <c r="C16" s="28" cm="1">
        <f t="array" ref="C16">C14/C15-1</f>
        <v>0.641616146866542</v>
      </c>
      <c r="D16" s="28" cm="1">
        <f t="array" ref="D16">D14/D15-1</f>
        <v>0.576180941861727</v>
      </c>
      <c r="E16" s="28" cm="1">
        <f t="array" ref="E16">E14/E15-1</f>
        <v>0.554737623519785</v>
      </c>
      <c r="F16" s="28" cm="1">
        <f t="array" ref="F16">F14/F15-1</f>
        <v>0.480271746150458</v>
      </c>
      <c r="G16" s="28" cm="1">
        <f t="array" ref="G16">G14/G15-1</f>
        <v>0.462032195446976</v>
      </c>
      <c r="H16" s="28" cm="1">
        <f t="array" ref="H16">H14/H15-1</f>
        <v>0.418676309741628</v>
      </c>
      <c r="I16" s="28" cm="1">
        <f t="array" ref="I16">I14/I15-1</f>
        <v>0.357531222318969</v>
      </c>
      <c r="J16" s="28" cm="1">
        <f t="array" ref="J16">J14/J15-1</f>
        <v>0.365695476578127</v>
      </c>
      <c r="K16" s="28" cm="1">
        <f t="array" ref="K16">K14/K15-1</f>
        <v>0.335855468471071</v>
      </c>
      <c r="L16" s="28" cm="1">
        <f t="array" ref="L16">L14/L15-1</f>
        <v>0.312329218670757</v>
      </c>
      <c r="M16" s="28" cm="1">
        <f t="array" ref="M16">M14/M15-1</f>
        <v>0.296428250953462</v>
      </c>
      <c r="N16" s="77"/>
    </row>
    <row r="17" ht="15" customHeight="1">
      <c r="A17" s="11"/>
      <c r="B17" s="28"/>
      <c r="C17" s="28"/>
      <c r="D17" s="28"/>
      <c r="E17" s="28"/>
      <c r="F17" s="28"/>
      <c r="G17" s="28"/>
      <c r="H17" s="28"/>
      <c r="I17" s="28"/>
      <c r="J17" s="28"/>
      <c r="K17" s="116"/>
      <c r="L17" s="28"/>
      <c r="M17" s="28"/>
      <c r="N17" s="10"/>
    </row>
    <row r="18" ht="15" customHeight="1">
      <c r="A18" t="s" s="106">
        <v>167</v>
      </c>
      <c r="B18" s="28"/>
      <c r="C18" s="28"/>
      <c r="D18" s="28"/>
      <c r="E18" s="28"/>
      <c r="F18" s="28"/>
      <c r="G18" s="28"/>
      <c r="H18" s="28"/>
      <c r="I18" s="28"/>
      <c r="J18" s="28"/>
      <c r="K18" s="116"/>
      <c r="L18" s="28"/>
      <c r="M18" s="28"/>
      <c r="N18" s="10"/>
    </row>
    <row r="19" ht="15" customHeight="1">
      <c r="A19" s="131"/>
      <c r="B19" s="132"/>
      <c r="C19" s="132"/>
      <c r="D19" s="132"/>
      <c r="E19" s="132"/>
      <c r="F19" s="132"/>
      <c r="G19" s="132"/>
      <c r="H19" s="132"/>
      <c r="I19" s="132"/>
      <c r="J19" s="132"/>
      <c r="K19" s="133"/>
      <c r="L19" s="132"/>
      <c r="M19" s="132"/>
      <c r="N19" s="10"/>
    </row>
    <row r="20" ht="15" customHeight="1">
      <c r="A20" t="s" s="14">
        <v>8</v>
      </c>
      <c r="B20" t="s" s="14">
        <v>9</v>
      </c>
      <c r="C20" t="s" s="14">
        <v>10</v>
      </c>
      <c r="D20" t="s" s="14">
        <v>11</v>
      </c>
      <c r="E20" t="s" s="14">
        <v>12</v>
      </c>
      <c r="F20" t="s" s="14">
        <v>13</v>
      </c>
      <c r="G20" t="s" s="14">
        <v>14</v>
      </c>
      <c r="H20" t="s" s="14">
        <v>15</v>
      </c>
      <c r="I20" t="s" s="14">
        <v>16</v>
      </c>
      <c r="J20" t="s" s="14">
        <v>17</v>
      </c>
      <c r="K20" t="s" s="14">
        <v>18</v>
      </c>
      <c r="L20" t="s" s="14">
        <v>19</v>
      </c>
      <c r="M20" t="s" s="14">
        <v>20</v>
      </c>
      <c r="N20" s="21"/>
    </row>
    <row r="21" ht="15" customHeight="1">
      <c r="A21" s="37"/>
      <c r="B21" s="134">
        <v>1</v>
      </c>
      <c r="C21" s="134" cm="1">
        <f t="array" ref="C21">B25+1</f>
        <v>6</v>
      </c>
      <c r="D21" s="134" cm="1">
        <f t="array" ref="D21">C24+1</f>
        <v>10</v>
      </c>
      <c r="E21" s="134" cm="1">
        <f t="array" ref="E21">D24+1</f>
        <v>14</v>
      </c>
      <c r="F21" s="134" cm="1">
        <f t="array" ref="F21">E24+1</f>
        <v>18</v>
      </c>
      <c r="G21" s="134" cm="1">
        <f t="array" ref="G21">F25+1</f>
        <v>23</v>
      </c>
      <c r="H21" s="134" cm="1">
        <f t="array" ref="H21">G24+1</f>
        <v>27</v>
      </c>
      <c r="I21" s="134" cm="1">
        <f t="array" ref="I21">H25+1</f>
        <v>32</v>
      </c>
      <c r="J21" s="84" cm="1">
        <f t="array" ref="J21">I24+1</f>
        <v>36</v>
      </c>
      <c r="K21" s="134" cm="1">
        <f t="array" ref="K21">J24+1</f>
        <v>40</v>
      </c>
      <c r="L21" s="134" cm="1">
        <f t="array" ref="L21">K25+1</f>
        <v>45</v>
      </c>
      <c r="M21" s="134" cm="1">
        <f t="array" ref="M21">L24+1</f>
        <v>49</v>
      </c>
      <c r="N21" s="77"/>
    </row>
    <row r="22" ht="15" customHeight="1">
      <c r="A22" s="37"/>
      <c r="B22" s="134">
        <v>2</v>
      </c>
      <c r="C22" s="134" cm="1">
        <f t="array" ref="C22">C21+1</f>
        <v>7</v>
      </c>
      <c r="D22" s="134" cm="1">
        <f t="array" ref="D22">D21+1</f>
        <v>11</v>
      </c>
      <c r="E22" s="134" cm="1">
        <f t="array" ref="E22">E21+1</f>
        <v>15</v>
      </c>
      <c r="F22" s="134" cm="1">
        <f t="array" ref="F22">F21+1</f>
        <v>19</v>
      </c>
      <c r="G22" s="134" cm="1">
        <f t="array" ref="G22">G21+1</f>
        <v>24</v>
      </c>
      <c r="H22" s="134" cm="1">
        <f t="array" ref="H22">H21+1</f>
        <v>28</v>
      </c>
      <c r="I22" s="134" cm="1">
        <f t="array" ref="I22">I21+1</f>
        <v>33</v>
      </c>
      <c r="J22" s="84" cm="1">
        <f t="array" ref="J22">J21+1</f>
        <v>37</v>
      </c>
      <c r="K22" s="84" cm="1">
        <f t="array" ref="K22">K21+1</f>
        <v>41</v>
      </c>
      <c r="L22" s="84" cm="1">
        <f t="array" ref="L22">L21+1</f>
        <v>46</v>
      </c>
      <c r="M22" s="84" cm="1">
        <f t="array" ref="M22">M21+1</f>
        <v>50</v>
      </c>
      <c r="N22" s="77"/>
    </row>
    <row r="23" ht="15" customHeight="1">
      <c r="A23" s="37"/>
      <c r="B23" s="134">
        <v>3</v>
      </c>
      <c r="C23" s="134" cm="1">
        <f t="array" ref="C23">C22+1</f>
        <v>8</v>
      </c>
      <c r="D23" s="134" cm="1">
        <f t="array" ref="D23">D22+1</f>
        <v>12</v>
      </c>
      <c r="E23" s="134" cm="1">
        <f t="array" ref="E23">E22+1</f>
        <v>16</v>
      </c>
      <c r="F23" s="134" cm="1">
        <f t="array" ref="F23">F22+1</f>
        <v>20</v>
      </c>
      <c r="G23" s="134" cm="1">
        <f t="array" ref="G23">G22+1</f>
        <v>25</v>
      </c>
      <c r="H23" s="134" cm="1">
        <f t="array" ref="H23">H22+1</f>
        <v>29</v>
      </c>
      <c r="I23" s="134" cm="1">
        <f t="array" ref="I23">I22+1</f>
        <v>34</v>
      </c>
      <c r="J23" s="84" cm="1">
        <f t="array" ref="J23">J22+1</f>
        <v>38</v>
      </c>
      <c r="K23" s="84" cm="1">
        <f t="array" ref="K23">K22+1</f>
        <v>42</v>
      </c>
      <c r="L23" s="84" cm="1">
        <f t="array" ref="L23">L22+1</f>
        <v>47</v>
      </c>
      <c r="M23" s="84" cm="1">
        <f t="array" ref="M23">M22+1</f>
        <v>51</v>
      </c>
      <c r="N23" s="77"/>
    </row>
    <row r="24" ht="15" customHeight="1">
      <c r="A24" s="37"/>
      <c r="B24" s="134">
        <v>4</v>
      </c>
      <c r="C24" s="134" cm="1">
        <f t="array" ref="C24">C23+1</f>
        <v>9</v>
      </c>
      <c r="D24" s="134" cm="1">
        <f t="array" ref="D24">D23+1</f>
        <v>13</v>
      </c>
      <c r="E24" s="134" cm="1">
        <f t="array" ref="E24">E23+1</f>
        <v>17</v>
      </c>
      <c r="F24" s="134" cm="1">
        <f t="array" ref="F24">F23+1</f>
        <v>21</v>
      </c>
      <c r="G24" s="134" cm="1">
        <f t="array" ref="G24">G23+1</f>
        <v>26</v>
      </c>
      <c r="H24" s="134" cm="1">
        <f t="array" ref="H24">H23+1</f>
        <v>30</v>
      </c>
      <c r="I24" s="134" cm="1">
        <f t="array" ref="I24">I23+1</f>
        <v>35</v>
      </c>
      <c r="J24" s="84" cm="1">
        <f t="array" ref="J24">J23+1</f>
        <v>39</v>
      </c>
      <c r="K24" s="84" cm="1">
        <f t="array" ref="K24">K23+1</f>
        <v>43</v>
      </c>
      <c r="L24" s="84" cm="1">
        <f t="array" ref="L24">L23+1</f>
        <v>48</v>
      </c>
      <c r="M24" s="84" cm="1">
        <f t="array" ref="M24">M23+1</f>
        <v>52</v>
      </c>
      <c r="N24" s="10"/>
    </row>
    <row r="25" ht="15" customHeight="1">
      <c r="A25" s="37"/>
      <c r="B25" s="134">
        <v>5</v>
      </c>
      <c r="C25" s="134"/>
      <c r="D25" s="134"/>
      <c r="E25" s="134"/>
      <c r="F25" s="134" cm="1">
        <f t="array" ref="F25">F24+1</f>
        <v>22</v>
      </c>
      <c r="G25" s="84"/>
      <c r="H25" s="134" cm="1">
        <f t="array" ref="H25">H24+1</f>
        <v>31</v>
      </c>
      <c r="I25" s="134"/>
      <c r="J25" s="84"/>
      <c r="K25" s="84" cm="1">
        <f t="array" ref="K25">K24+1</f>
        <v>44</v>
      </c>
      <c r="L25" s="84"/>
      <c r="M25" s="84"/>
      <c r="N25" s="10"/>
    </row>
    <row r="26" ht="15" customHeight="1">
      <c r="A26" s="37"/>
      <c r="B26" s="134"/>
      <c r="C26" s="134"/>
      <c r="D26" s="134"/>
      <c r="E26" s="134"/>
      <c r="F26" s="84"/>
      <c r="G26" s="84"/>
      <c r="H26" s="84"/>
      <c r="I26" s="84"/>
      <c r="J26" s="84"/>
      <c r="K26" s="84"/>
      <c r="L26" s="84"/>
      <c r="M26" s="84"/>
      <c r="N26" s="10"/>
    </row>
    <row r="27" ht="15" customHeight="1">
      <c r="A27" s="37"/>
      <c r="B27" s="134"/>
      <c r="C27" s="134"/>
      <c r="D27" s="134"/>
      <c r="E27" s="134"/>
      <c r="F27" s="84"/>
      <c r="G27" s="84"/>
      <c r="H27" s="84"/>
      <c r="I27" s="84"/>
      <c r="J27" s="84"/>
      <c r="K27" s="84"/>
      <c r="L27" s="84"/>
      <c r="M27" s="84"/>
      <c r="N27" s="10"/>
    </row>
    <row r="28" ht="15" customHeight="1">
      <c r="A28" s="37"/>
      <c r="B28" s="134"/>
      <c r="C28" s="134"/>
      <c r="D28" s="134"/>
      <c r="E28" s="134"/>
      <c r="F28" s="84"/>
      <c r="G28" s="84"/>
      <c r="H28" s="84"/>
      <c r="I28" s="84"/>
      <c r="J28" s="84"/>
      <c r="K28" s="84"/>
      <c r="L28" s="84"/>
      <c r="M28" s="84"/>
      <c r="N28" s="10"/>
    </row>
    <row r="29" ht="15" customHeight="1">
      <c r="A29" s="37"/>
      <c r="B29" s="83"/>
      <c r="C29" s="83"/>
      <c r="D29" s="83"/>
      <c r="E29" s="83"/>
      <c r="F29" s="37"/>
      <c r="G29" s="37"/>
      <c r="H29" s="37"/>
      <c r="I29" s="37"/>
      <c r="J29" s="37"/>
      <c r="K29" s="37"/>
      <c r="L29" s="37"/>
      <c r="M29" s="37"/>
      <c r="N29" s="10"/>
    </row>
    <row r="30" ht="15" customHeight="1">
      <c r="A30" t="s" s="33">
        <v>120</v>
      </c>
      <c r="B30" s="18" cm="1">
        <f t="array" ref="B30">110000+181000+310000+162000+480000</f>
        <v>1243000</v>
      </c>
      <c r="C30" s="92" cm="1">
        <f t="array" ref="C30">138000+65000+451000+500000</f>
        <v>1154000</v>
      </c>
      <c r="D30" s="18" cm="1">
        <f t="array" ref="D30">110000+280600+255000+130000</f>
        <v>775600</v>
      </c>
      <c r="E30" s="18" cm="1">
        <f t="array" ref="E30">340800+260000+40000+180000</f>
        <v>820800</v>
      </c>
      <c r="F30" s="18" cm="1">
        <f t="array" ref="F30">292000+87000+264000</f>
        <v>643000</v>
      </c>
      <c r="G30" s="18" cm="1">
        <f t="array" ref="G30">120000+378500+32000+148000</f>
        <v>678500</v>
      </c>
      <c r="H30" s="18" cm="1">
        <f t="array" ref="H30">80000+352000+100000+410000</f>
        <v>942000</v>
      </c>
      <c r="I30" s="92" cm="1">
        <f t="array" ref="I30">30000+147000+100000+48000</f>
        <v>325000</v>
      </c>
      <c r="J30" s="92">
        <v>30000</v>
      </c>
      <c r="K30" s="92" cm="1">
        <f t="array" ref="K30">100000+30000+150000</f>
        <v>280000</v>
      </c>
      <c r="L30" s="18">
        <v>50000</v>
      </c>
      <c r="M30" s="92">
        <v>100000</v>
      </c>
      <c r="N30" s="98" cm="1">
        <f t="array" ref="N30">SUM(B30:M30)</f>
        <v>7041900</v>
      </c>
    </row>
    <row r="31" ht="15" customHeight="1">
      <c r="A31" t="s" s="33">
        <v>38</v>
      </c>
      <c r="B31" s="18"/>
      <c r="C31" s="18"/>
      <c r="D31" s="18"/>
      <c r="E31" s="18"/>
      <c r="F31" s="18"/>
      <c r="G31" s="18"/>
      <c r="H31" s="18"/>
      <c r="I31" s="18"/>
      <c r="J31" s="18"/>
      <c r="K31" s="18"/>
      <c r="L31" s="18"/>
      <c r="M31" s="18"/>
      <c r="N31" s="98" cm="1">
        <f t="array" ref="N31">SUM(B31:M31)</f>
        <v>0</v>
      </c>
    </row>
    <row r="32" ht="15" customHeight="1">
      <c r="A32" t="s" s="33">
        <v>121</v>
      </c>
      <c r="B32" s="18"/>
      <c r="C32" s="18"/>
      <c r="D32" s="18"/>
      <c r="E32" s="18"/>
      <c r="F32" s="18"/>
      <c r="G32" s="18"/>
      <c r="H32" s="18"/>
      <c r="I32" s="18"/>
      <c r="J32" s="18"/>
      <c r="K32" s="18"/>
      <c r="L32" s="18"/>
      <c r="M32" s="18"/>
      <c r="N32" s="19" cm="1">
        <f t="array" ref="N32">SUM(B32:M32)</f>
        <v>0</v>
      </c>
    </row>
    <row r="33" ht="15" customHeight="1">
      <c r="A33" t="s" s="33">
        <v>122</v>
      </c>
      <c r="B33" s="18"/>
      <c r="C33" s="18"/>
      <c r="D33" s="18"/>
      <c r="E33" s="18"/>
      <c r="F33" s="18"/>
      <c r="G33" s="18"/>
      <c r="H33" s="18"/>
      <c r="I33" s="18"/>
      <c r="J33" s="18"/>
      <c r="K33" s="18"/>
      <c r="L33" s="18"/>
      <c r="M33" s="18"/>
      <c r="N33" s="19" cm="1">
        <f t="array" ref="N33">SUM(B33:M33)</f>
        <v>0</v>
      </c>
    </row>
    <row r="34" ht="15" customHeight="1">
      <c r="A34" t="s" s="33">
        <v>49</v>
      </c>
      <c r="B34" s="18"/>
      <c r="C34" s="18"/>
      <c r="D34" s="18"/>
      <c r="E34" s="18"/>
      <c r="F34" s="18"/>
      <c r="G34" s="18"/>
      <c r="H34" s="18"/>
      <c r="I34" s="18"/>
      <c r="J34" s="18"/>
      <c r="K34" s="18"/>
      <c r="L34" s="18"/>
      <c r="M34" s="18"/>
      <c r="N34" s="19" cm="1">
        <f t="array" ref="N34">SUM(B34:M34)</f>
        <v>0</v>
      </c>
    </row>
    <row r="35" ht="15" customHeight="1">
      <c r="A35" s="30"/>
      <c r="B35" s="23"/>
      <c r="C35" s="23"/>
      <c r="D35" s="23"/>
      <c r="E35" s="23"/>
      <c r="F35" s="23"/>
      <c r="G35" s="23"/>
      <c r="H35" s="23"/>
      <c r="I35" s="45"/>
      <c r="J35" s="23"/>
      <c r="K35" s="23"/>
      <c r="L35" s="23"/>
      <c r="M35" s="23"/>
      <c r="N35" s="27"/>
    </row>
    <row r="36" ht="15" customHeight="1">
      <c r="A36" s="11"/>
      <c r="B36" s="26"/>
      <c r="C36" s="26"/>
      <c r="D36" s="26"/>
      <c r="E36" s="26"/>
      <c r="F36" s="26"/>
      <c r="G36" s="26"/>
      <c r="H36" s="26"/>
      <c r="I36" s="26"/>
      <c r="J36" s="26"/>
      <c r="K36" s="26"/>
      <c r="L36" s="26"/>
      <c r="M36" s="26"/>
      <c r="N36" s="27"/>
    </row>
    <row r="37" ht="23" customHeight="1">
      <c r="A37" t="s" s="7">
        <v>6</v>
      </c>
      <c r="B37" s="8"/>
      <c r="C37" s="8"/>
      <c r="D37" s="9"/>
      <c r="E37" s="9"/>
      <c r="F37" s="9"/>
      <c r="G37" s="9"/>
      <c r="H37" s="9"/>
      <c r="I37" s="9"/>
      <c r="J37" s="9"/>
      <c r="K37" s="9"/>
      <c r="L37" s="9"/>
      <c r="M37" s="9"/>
      <c r="N37" s="27"/>
    </row>
    <row r="38" ht="23" customHeight="1">
      <c r="A38" t="s" s="7">
        <v>187</v>
      </c>
      <c r="B38" s="8"/>
      <c r="C38" s="8"/>
      <c r="D38" s="12"/>
      <c r="E38" s="12"/>
      <c r="F38" s="12"/>
      <c r="G38" s="12"/>
      <c r="H38" s="12"/>
      <c r="I38" s="12"/>
      <c r="J38" s="12"/>
      <c r="K38" s="12"/>
      <c r="L38" s="12"/>
      <c r="M38" s="12"/>
      <c r="N38" s="27"/>
    </row>
    <row r="39" ht="23" customHeight="1">
      <c r="A39" s="8"/>
      <c r="B39" s="8"/>
      <c r="C39" s="8"/>
      <c r="D39" s="9"/>
      <c r="E39" s="9"/>
      <c r="F39" s="9"/>
      <c r="G39" s="9"/>
      <c r="H39" s="9"/>
      <c r="I39" s="9"/>
      <c r="J39" s="9"/>
      <c r="K39" s="9"/>
      <c r="L39" s="9"/>
      <c r="M39" s="9"/>
      <c r="N39" s="27"/>
    </row>
    <row r="40" ht="15" customHeight="1">
      <c r="A40" s="13"/>
      <c r="B40" s="13"/>
      <c r="C40" s="13"/>
      <c r="D40" s="13"/>
      <c r="E40" s="13"/>
      <c r="F40" s="13"/>
      <c r="G40" s="13"/>
      <c r="H40" s="13"/>
      <c r="I40" s="13"/>
      <c r="J40" s="13"/>
      <c r="K40" s="13"/>
      <c r="L40" s="13"/>
      <c r="M40" s="13"/>
      <c r="N40" s="78"/>
    </row>
    <row r="41" ht="15" customHeight="1">
      <c r="A41" t="s" s="32">
        <v>28</v>
      </c>
      <c r="B41" t="s" s="14">
        <v>9</v>
      </c>
      <c r="C41" t="s" s="14">
        <v>10</v>
      </c>
      <c r="D41" t="s" s="14">
        <v>11</v>
      </c>
      <c r="E41" t="s" s="14">
        <v>12</v>
      </c>
      <c r="F41" t="s" s="14">
        <v>13</v>
      </c>
      <c r="G41" t="s" s="14">
        <v>14</v>
      </c>
      <c r="H41" t="s" s="14">
        <v>15</v>
      </c>
      <c r="I41" t="s" s="14">
        <v>16</v>
      </c>
      <c r="J41" t="s" s="14">
        <v>17</v>
      </c>
      <c r="K41" t="s" s="14">
        <v>18</v>
      </c>
      <c r="L41" t="s" s="14">
        <v>19</v>
      </c>
      <c r="M41" t="s" s="14">
        <v>20</v>
      </c>
      <c r="N41" t="s" s="73">
        <v>183</v>
      </c>
    </row>
    <row r="42" ht="15" customHeight="1">
      <c r="A42" t="s" s="33">
        <v>179</v>
      </c>
      <c r="B42" s="79">
        <v>737</v>
      </c>
      <c r="C42" s="79">
        <v>1022</v>
      </c>
      <c r="D42" s="79">
        <v>997</v>
      </c>
      <c r="E42" s="80">
        <v>1152</v>
      </c>
      <c r="F42" s="80">
        <v>959</v>
      </c>
      <c r="G42" s="80">
        <v>842</v>
      </c>
      <c r="H42" s="80">
        <v>977</v>
      </c>
      <c r="I42" s="80">
        <v>1046</v>
      </c>
      <c r="J42" s="118">
        <v>1108</v>
      </c>
      <c r="K42" s="17">
        <v>1148</v>
      </c>
      <c r="L42" s="17">
        <v>1039</v>
      </c>
      <c r="M42" s="17">
        <v>1183</v>
      </c>
      <c r="N42" s="135"/>
    </row>
    <row r="43" ht="15" customHeight="1">
      <c r="A43" t="s" s="33">
        <v>180</v>
      </c>
      <c r="B43" s="79">
        <v>440</v>
      </c>
      <c r="C43" s="79">
        <v>740</v>
      </c>
      <c r="D43" s="79">
        <v>679</v>
      </c>
      <c r="E43" s="80">
        <v>730</v>
      </c>
      <c r="F43" s="80">
        <v>566</v>
      </c>
      <c r="G43" s="80">
        <v>570</v>
      </c>
      <c r="H43" s="80">
        <v>579</v>
      </c>
      <c r="I43" s="80">
        <v>551</v>
      </c>
      <c r="J43" s="118">
        <v>513</v>
      </c>
      <c r="K43" s="17">
        <v>566</v>
      </c>
      <c r="L43" s="17">
        <v>488</v>
      </c>
      <c r="M43" s="17">
        <v>484</v>
      </c>
      <c r="N43" s="141"/>
    </row>
    <row r="44" ht="15" customHeight="1">
      <c r="A44" t="s" s="33">
        <v>30</v>
      </c>
      <c r="B44" s="80"/>
      <c r="C44" s="80"/>
      <c r="D44" s="80"/>
      <c r="E44" s="80"/>
      <c r="F44" s="80"/>
      <c r="G44" s="80"/>
      <c r="H44" s="80"/>
      <c r="I44" s="35"/>
      <c r="J44" s="35"/>
      <c r="K44" s="35"/>
      <c r="L44" s="35"/>
      <c r="M44" s="35"/>
      <c r="N44" s="36"/>
    </row>
    <row r="45" ht="15" customHeight="1">
      <c r="A45" t="s" s="33">
        <v>31</v>
      </c>
      <c r="B45" s="80"/>
      <c r="C45" s="80"/>
      <c r="D45" s="80"/>
      <c r="E45" s="80"/>
      <c r="F45" s="80"/>
      <c r="G45" s="80"/>
      <c r="H45" s="80"/>
      <c r="I45" s="17">
        <v>282</v>
      </c>
      <c r="J45" s="17">
        <v>297</v>
      </c>
      <c r="K45" s="17">
        <v>244</v>
      </c>
      <c r="L45" s="35"/>
      <c r="M45" s="35"/>
      <c r="N45" s="36"/>
    </row>
    <row r="46" ht="15" customHeight="1">
      <c r="A46" t="s" s="33">
        <v>32</v>
      </c>
      <c r="B46" s="80"/>
      <c r="C46" s="80"/>
      <c r="D46" s="80"/>
      <c r="E46" s="80"/>
      <c r="F46" s="80"/>
      <c r="G46" s="80"/>
      <c r="H46" s="80"/>
      <c r="I46" s="35"/>
      <c r="J46" s="35"/>
      <c r="K46" s="35"/>
      <c r="L46" s="35"/>
      <c r="M46" s="35"/>
      <c r="N46" s="36"/>
    </row>
    <row r="47" ht="15" customHeight="1">
      <c r="A47" t="s" s="33">
        <v>33</v>
      </c>
      <c r="B47" s="80" cm="1">
        <f t="array" ref="B47">463/5</f>
        <v>92.59999999999999</v>
      </c>
      <c r="C47" s="80" cm="1">
        <f t="array" ref="C47">844/4</f>
        <v>211</v>
      </c>
      <c r="D47" s="80" cm="1">
        <f t="array" ref="D47">825/4</f>
        <v>206.25</v>
      </c>
      <c r="E47" s="80" cm="1">
        <f t="array" ref="E47">989/4</f>
        <v>247.25</v>
      </c>
      <c r="F47" s="80" cm="1">
        <f t="array" ref="F47">988/5</f>
        <v>197.6</v>
      </c>
      <c r="G47" s="80" cm="1">
        <f t="array" ref="G47">560/4</f>
        <v>140</v>
      </c>
      <c r="H47" s="80" cm="1">
        <f t="array" ref="H47">802/5</f>
        <v>160.4</v>
      </c>
      <c r="I47" s="80" cm="1">
        <f t="array" ref="I47">764/4</f>
        <v>191</v>
      </c>
      <c r="J47" s="80" cm="1">
        <f t="array" ref="J47">655/4</f>
        <v>163.75</v>
      </c>
      <c r="K47" s="80" cm="1">
        <f t="array" ref="K47">1040/5</f>
        <v>208</v>
      </c>
      <c r="L47" s="80" cm="1">
        <f t="array" ref="L47">843/4</f>
        <v>210.75</v>
      </c>
      <c r="M47" s="17" cm="1">
        <f t="array" ref="M47">447/3</f>
        <v>149</v>
      </c>
      <c r="N47" s="36"/>
    </row>
    <row r="48" ht="15" customHeight="1">
      <c r="A48" s="40">
        <v>1</v>
      </c>
      <c r="B48" s="80"/>
      <c r="C48" s="80"/>
      <c r="D48" s="80"/>
      <c r="E48" s="80"/>
      <c r="F48" s="80"/>
      <c r="G48" s="80"/>
      <c r="H48" s="80"/>
      <c r="I48" s="35"/>
      <c r="J48" s="35"/>
      <c r="K48" s="35"/>
      <c r="L48" s="35"/>
      <c r="M48" s="35"/>
      <c r="N48" s="36"/>
    </row>
    <row r="49" ht="15" customHeight="1">
      <c r="A49" s="40">
        <v>2</v>
      </c>
      <c r="B49" s="80"/>
      <c r="C49" s="80"/>
      <c r="D49" s="80"/>
      <c r="E49" s="80"/>
      <c r="F49" s="80"/>
      <c r="G49" s="80"/>
      <c r="H49" s="80"/>
      <c r="I49" s="35"/>
      <c r="J49" s="35"/>
      <c r="K49" s="35"/>
      <c r="L49" s="35"/>
      <c r="M49" s="35"/>
      <c r="N49" s="36"/>
    </row>
    <row r="50" ht="15" customHeight="1">
      <c r="A50" s="40">
        <v>3</v>
      </c>
      <c r="B50" s="80"/>
      <c r="C50" s="80"/>
      <c r="D50" s="80"/>
      <c r="E50" s="80"/>
      <c r="F50" s="80"/>
      <c r="G50" s="80"/>
      <c r="H50" s="80"/>
      <c r="I50" s="35"/>
      <c r="J50" s="35"/>
      <c r="K50" s="35"/>
      <c r="L50" s="35"/>
      <c r="M50" s="35"/>
      <c r="N50" s="36"/>
    </row>
    <row r="51" ht="15" customHeight="1">
      <c r="A51" t="s" s="33">
        <v>34</v>
      </c>
      <c r="B51" s="35"/>
      <c r="C51" s="35"/>
      <c r="D51" s="35"/>
      <c r="E51" s="35"/>
      <c r="F51" s="35"/>
      <c r="G51" s="35"/>
      <c r="H51" s="35"/>
      <c r="I51" s="35"/>
      <c r="J51" s="35"/>
      <c r="K51" s="35"/>
      <c r="L51" s="35"/>
      <c r="M51" s="35"/>
      <c r="N51" s="36"/>
    </row>
    <row r="52" ht="15" customHeight="1">
      <c r="A52" s="37"/>
      <c r="B52" s="83"/>
      <c r="C52" s="83"/>
      <c r="D52" s="83"/>
      <c r="E52" s="83"/>
      <c r="F52" s="83"/>
      <c r="G52" s="84"/>
      <c r="H52" s="83"/>
      <c r="I52" s="37"/>
      <c r="J52" s="37"/>
      <c r="K52" s="37"/>
      <c r="L52" s="37"/>
      <c r="M52" s="37"/>
      <c r="N52" s="11"/>
    </row>
    <row r="53" ht="15" customHeight="1">
      <c r="A53" t="s" s="32">
        <v>28</v>
      </c>
      <c r="B53" t="s" s="14">
        <v>9</v>
      </c>
      <c r="C53" t="s" s="14">
        <v>10</v>
      </c>
      <c r="D53" t="s" s="14">
        <v>11</v>
      </c>
      <c r="E53" t="s" s="14">
        <v>12</v>
      </c>
      <c r="F53" t="s" s="14">
        <v>13</v>
      </c>
      <c r="G53" t="s" s="14">
        <v>14</v>
      </c>
      <c r="H53" t="s" s="14">
        <v>15</v>
      </c>
      <c r="I53" t="s" s="14">
        <v>16</v>
      </c>
      <c r="J53" t="s" s="14">
        <v>17</v>
      </c>
      <c r="K53" t="s" s="14">
        <v>18</v>
      </c>
      <c r="L53" t="s" s="14">
        <v>19</v>
      </c>
      <c r="M53" t="s" s="14">
        <v>20</v>
      </c>
      <c r="N53" s="36"/>
    </row>
    <row r="54" ht="15" customHeight="1">
      <c r="A54" t="s" s="33">
        <v>35</v>
      </c>
      <c r="B54" s="17">
        <v>69</v>
      </c>
      <c r="C54" s="17">
        <v>58</v>
      </c>
      <c r="D54" s="17">
        <v>57</v>
      </c>
      <c r="E54" s="17">
        <v>105</v>
      </c>
      <c r="F54" s="17">
        <v>37</v>
      </c>
      <c r="G54" s="17">
        <v>29</v>
      </c>
      <c r="H54" s="17">
        <v>39</v>
      </c>
      <c r="I54" s="17">
        <v>60</v>
      </c>
      <c r="J54" s="17">
        <v>54</v>
      </c>
      <c r="K54" s="17">
        <v>79</v>
      </c>
      <c r="L54" s="17">
        <v>59</v>
      </c>
      <c r="M54" s="17">
        <v>46</v>
      </c>
      <c r="N54" s="67" cm="1">
        <f t="array" ref="N54">SUM(B54:M54)</f>
        <v>692</v>
      </c>
    </row>
    <row r="55" ht="15" customHeight="1">
      <c r="A55" t="s" s="33">
        <v>85</v>
      </c>
      <c r="B55" s="35"/>
      <c r="C55" s="35"/>
      <c r="D55" s="35"/>
      <c r="E55" s="35"/>
      <c r="F55" s="35"/>
      <c r="G55" s="35"/>
      <c r="H55" s="35"/>
      <c r="I55" s="35"/>
      <c r="J55" s="35"/>
      <c r="K55" s="35"/>
      <c r="L55" s="35"/>
      <c r="M55" s="35"/>
      <c r="N55" s="67" cm="1">
        <f t="array" ref="N55">446+191</f>
        <v>637</v>
      </c>
    </row>
    <row r="56" ht="15" customHeight="1">
      <c r="A56" t="s" s="33">
        <v>37</v>
      </c>
      <c r="B56" s="145"/>
      <c r="C56" s="146">
        <v>23</v>
      </c>
      <c r="D56" s="146"/>
      <c r="E56" s="146">
        <v>16</v>
      </c>
      <c r="F56" s="146">
        <v>14</v>
      </c>
      <c r="G56" s="146">
        <v>20</v>
      </c>
      <c r="H56" s="146">
        <v>18</v>
      </c>
      <c r="I56" s="146"/>
      <c r="J56" s="146">
        <v>36</v>
      </c>
      <c r="K56" s="146"/>
      <c r="L56" s="146">
        <v>23</v>
      </c>
      <c r="M56" s="146"/>
      <c r="N56" s="55" cm="1">
        <f t="array" ref="N56">SUM(B56:M56)</f>
        <v>150</v>
      </c>
    </row>
    <row r="57" ht="15" customHeight="1">
      <c r="A57" t="s" s="33">
        <v>100</v>
      </c>
      <c r="B57" s="35"/>
      <c r="C57" s="35"/>
      <c r="D57" s="35"/>
      <c r="E57" s="35"/>
      <c r="F57" s="35"/>
      <c r="G57" s="35"/>
      <c r="H57" s="35"/>
      <c r="I57" s="35"/>
      <c r="J57" s="35"/>
      <c r="K57" s="35"/>
      <c r="L57" s="35"/>
      <c r="M57" s="35"/>
      <c r="N57" s="67" cm="1">
        <f t="array" ref="N57">158+76</f>
        <v>234</v>
      </c>
    </row>
    <row r="58" ht="15" customHeight="1">
      <c r="A58" t="s" s="33">
        <v>101</v>
      </c>
      <c r="B58" s="35"/>
      <c r="C58" s="35"/>
      <c r="D58" s="35"/>
      <c r="E58" s="35"/>
      <c r="F58" s="35"/>
      <c r="G58" s="35"/>
      <c r="H58" s="35"/>
      <c r="I58" s="35"/>
      <c r="J58" s="35"/>
      <c r="K58" s="35"/>
      <c r="L58" s="35"/>
      <c r="M58" s="35"/>
      <c r="N58" s="67" cm="1">
        <f t="array" ref="N58">106+48</f>
        <v>154</v>
      </c>
    </row>
    <row r="59" ht="15" customHeight="1">
      <c r="A59" t="s" s="33">
        <v>169</v>
      </c>
      <c r="B59" s="35"/>
      <c r="C59" s="35"/>
      <c r="D59" s="35"/>
      <c r="E59" s="35"/>
      <c r="F59" s="35"/>
      <c r="G59" s="35"/>
      <c r="H59" s="35"/>
      <c r="I59" s="35"/>
      <c r="J59" s="35"/>
      <c r="K59" s="35"/>
      <c r="L59" s="35"/>
      <c r="M59" s="35"/>
      <c r="N59" s="36"/>
    </row>
    <row r="60" ht="15" customHeight="1">
      <c r="A60" s="39"/>
      <c r="B60" s="35"/>
      <c r="C60" s="35"/>
      <c r="D60" s="35"/>
      <c r="E60" s="35"/>
      <c r="F60" s="35"/>
      <c r="G60" s="35"/>
      <c r="H60" s="35"/>
      <c r="I60" s="35"/>
      <c r="J60" s="35"/>
      <c r="K60" s="35"/>
      <c r="L60" s="35"/>
      <c r="M60" s="35"/>
      <c r="N60" s="36"/>
    </row>
    <row r="61" ht="29" customHeight="1">
      <c r="A61" t="s" s="68">
        <v>86</v>
      </c>
      <c r="B61" t="s" s="14">
        <v>9</v>
      </c>
      <c r="C61" t="s" s="14">
        <v>10</v>
      </c>
      <c r="D61" t="s" s="14">
        <v>11</v>
      </c>
      <c r="E61" t="s" s="14">
        <v>12</v>
      </c>
      <c r="F61" t="s" s="14">
        <v>13</v>
      </c>
      <c r="G61" t="s" s="14">
        <v>14</v>
      </c>
      <c r="H61" t="s" s="14">
        <v>15</v>
      </c>
      <c r="I61" t="s" s="14">
        <v>16</v>
      </c>
      <c r="J61" t="s" s="14">
        <v>17</v>
      </c>
      <c r="K61" t="s" s="14">
        <v>18</v>
      </c>
      <c r="L61" t="s" s="14">
        <v>19</v>
      </c>
      <c r="M61" t="s" s="14">
        <v>20</v>
      </c>
      <c r="N61" s="36"/>
    </row>
    <row r="62" ht="15" customHeight="1">
      <c r="A62" t="s" s="33">
        <v>39</v>
      </c>
      <c r="B62" s="35"/>
      <c r="C62" s="35"/>
      <c r="D62" s="35"/>
      <c r="E62" s="35"/>
      <c r="F62" s="35"/>
      <c r="G62" s="35"/>
      <c r="H62" s="35"/>
      <c r="I62" s="35"/>
      <c r="J62" s="35"/>
      <c r="K62" s="35"/>
      <c r="L62" s="35"/>
      <c r="M62" s="17" cm="1">
        <f t="array" ref="M62">160+76</f>
        <v>236</v>
      </c>
      <c r="N62" s="36"/>
    </row>
    <row r="63" ht="15" customHeight="1">
      <c r="A63" t="s" s="33">
        <v>40</v>
      </c>
      <c r="B63" s="35"/>
      <c r="C63" s="142"/>
      <c r="D63" s="41"/>
      <c r="E63" s="41"/>
      <c r="F63" s="41"/>
      <c r="G63" s="147"/>
      <c r="H63" s="35"/>
      <c r="I63" s="35"/>
      <c r="J63" s="35"/>
      <c r="K63" s="35"/>
      <c r="L63" s="35"/>
      <c r="M63" s="17">
        <v>135</v>
      </c>
      <c r="N63" s="36"/>
    </row>
    <row r="64" ht="15" customHeight="1">
      <c r="A64" t="s" s="33">
        <v>41</v>
      </c>
      <c r="B64" s="35"/>
      <c r="C64" s="35"/>
      <c r="D64" s="35"/>
      <c r="E64" s="35"/>
      <c r="F64" s="35"/>
      <c r="G64" s="35"/>
      <c r="H64" s="35"/>
      <c r="I64" s="35"/>
      <c r="J64" s="35"/>
      <c r="K64" s="35"/>
      <c r="L64" s="35"/>
      <c r="M64" s="17">
        <v>84</v>
      </c>
      <c r="N64" s="36"/>
    </row>
    <row r="65" ht="15" customHeight="1">
      <c r="A65" t="s" s="33">
        <v>42</v>
      </c>
      <c r="B65" s="40">
        <v>216</v>
      </c>
      <c r="C65" s="35"/>
      <c r="D65" s="35"/>
      <c r="E65" s="35"/>
      <c r="F65" s="35"/>
      <c r="G65" s="17">
        <v>209</v>
      </c>
      <c r="H65" s="35"/>
      <c r="I65" s="35"/>
      <c r="J65" s="35"/>
      <c r="K65" s="39"/>
      <c r="L65" s="39"/>
      <c r="M65" s="17">
        <v>193</v>
      </c>
      <c r="N65" s="36"/>
    </row>
    <row r="66" ht="15" customHeight="1">
      <c r="A66" t="s" s="33">
        <v>87</v>
      </c>
      <c r="B66" s="39"/>
      <c r="C66" s="35"/>
      <c r="D66" s="35"/>
      <c r="E66" s="35"/>
      <c r="F66" s="35"/>
      <c r="G66" s="35"/>
      <c r="H66" s="35"/>
      <c r="I66" s="35"/>
      <c r="J66" s="35"/>
      <c r="K66" s="39"/>
      <c r="L66" s="39"/>
      <c r="M66" s="17">
        <v>35</v>
      </c>
      <c r="N66" s="36"/>
    </row>
    <row r="67" ht="15" customHeight="1">
      <c r="A67" t="s" s="33">
        <v>88</v>
      </c>
      <c r="B67" s="39"/>
      <c r="C67" s="35"/>
      <c r="D67" s="35"/>
      <c r="E67" s="35"/>
      <c r="F67" s="35"/>
      <c r="G67" s="35"/>
      <c r="H67" s="35"/>
      <c r="I67" s="39"/>
      <c r="J67" s="39"/>
      <c r="K67" s="35"/>
      <c r="L67" s="39"/>
      <c r="M67" s="17">
        <v>60</v>
      </c>
      <c r="N67" s="36"/>
    </row>
    <row r="68" ht="15" customHeight="1">
      <c r="A68" t="s" s="33">
        <v>170</v>
      </c>
      <c r="B68" s="39"/>
      <c r="C68" s="35"/>
      <c r="D68" s="35"/>
      <c r="E68" s="35"/>
      <c r="F68" s="35"/>
      <c r="G68" s="35"/>
      <c r="H68" s="35"/>
      <c r="I68" s="35"/>
      <c r="J68" s="35"/>
      <c r="K68" s="35"/>
      <c r="L68" s="39"/>
      <c r="M68" s="17">
        <v>48</v>
      </c>
      <c r="N68" s="36"/>
    </row>
    <row r="69" ht="15" customHeight="1">
      <c r="A69" t="s" s="33">
        <v>125</v>
      </c>
      <c r="B69" s="39"/>
      <c r="C69" s="35"/>
      <c r="D69" s="35"/>
      <c r="E69" s="35"/>
      <c r="F69" s="35"/>
      <c r="G69" s="35"/>
      <c r="H69" s="35"/>
      <c r="I69" s="35"/>
      <c r="J69" s="35"/>
      <c r="K69" s="35"/>
      <c r="L69" s="39"/>
      <c r="M69" s="17">
        <v>35</v>
      </c>
      <c r="N69" s="36"/>
    </row>
    <row r="70" ht="15" customHeight="1">
      <c r="A70" t="s" s="33">
        <v>54</v>
      </c>
      <c r="B70" s="39"/>
      <c r="C70" s="35"/>
      <c r="D70" s="35"/>
      <c r="E70" s="35"/>
      <c r="F70" s="35"/>
      <c r="G70" s="35"/>
      <c r="H70" s="35"/>
      <c r="I70" s="35"/>
      <c r="J70" s="35"/>
      <c r="K70" s="35"/>
      <c r="L70" s="39"/>
      <c r="M70" s="35"/>
      <c r="N70" s="36"/>
    </row>
    <row r="71" ht="15" customHeight="1">
      <c r="A71" t="s" s="33">
        <v>22</v>
      </c>
      <c r="B71" s="17" cm="1">
        <f t="array" ref="B71">SUM(B62:B70)</f>
        <v>216</v>
      </c>
      <c r="C71" s="17" cm="1">
        <f t="array" ref="C71">SUM(C62:C70)</f>
        <v>0</v>
      </c>
      <c r="D71" s="17" cm="1">
        <f t="array" ref="D71">SUM(D62:D70)</f>
        <v>0</v>
      </c>
      <c r="E71" s="17" cm="1">
        <f t="array" ref="E71">SUM(E62:E70)</f>
        <v>0</v>
      </c>
      <c r="F71" s="17" cm="1">
        <f t="array" ref="F71">SUM(F62:F70)</f>
        <v>0</v>
      </c>
      <c r="G71" s="17" cm="1">
        <f t="array" ref="G71">SUM(G62:G70)</f>
        <v>209</v>
      </c>
      <c r="H71" s="17" cm="1">
        <f t="array" ref="H71">SUM(H62:H70)</f>
        <v>0</v>
      </c>
      <c r="I71" s="17" cm="1">
        <f t="array" ref="I71">SUM(I62:I70)</f>
        <v>0</v>
      </c>
      <c r="J71" s="17" cm="1">
        <f t="array" ref="J71">SUM(J62:J70)</f>
        <v>0</v>
      </c>
      <c r="K71" s="17" cm="1">
        <f t="array" ref="K71">SUM(K62:K70)</f>
        <v>0</v>
      </c>
      <c r="L71" s="17" cm="1">
        <f t="array" ref="L71">SUM(L62:L70)</f>
        <v>0</v>
      </c>
      <c r="M71" s="17" cm="1">
        <f t="array" ref="M71">SUM(M62:M70)</f>
        <v>826</v>
      </c>
      <c r="N71" s="36"/>
    </row>
    <row r="72" ht="15" customHeight="1">
      <c r="A72" s="39"/>
      <c r="B72" s="35"/>
      <c r="C72" s="35"/>
      <c r="D72" s="35"/>
      <c r="E72" s="35"/>
      <c r="F72" s="35"/>
      <c r="G72" s="35"/>
      <c r="H72" s="35"/>
      <c r="I72" s="35"/>
      <c r="J72" s="35"/>
      <c r="K72" s="35"/>
      <c r="L72" s="35"/>
      <c r="M72" s="35"/>
      <c r="N72" s="36"/>
    </row>
    <row r="73" ht="15" customHeight="1">
      <c r="A73" t="s" s="33">
        <v>127</v>
      </c>
      <c r="B73" s="35"/>
      <c r="C73" s="35"/>
      <c r="D73" s="35"/>
      <c r="E73" s="35"/>
      <c r="F73" s="35"/>
      <c r="G73" s="35"/>
      <c r="H73" s="35"/>
      <c r="I73" s="35"/>
      <c r="J73" s="35"/>
      <c r="K73" s="35"/>
      <c r="L73" s="35"/>
      <c r="M73" s="17">
        <v>1942</v>
      </c>
      <c r="N73" s="36"/>
    </row>
    <row r="74" ht="15" customHeight="1">
      <c r="A74" s="37"/>
      <c r="B74" s="37"/>
      <c r="C74" s="41"/>
      <c r="D74" s="41"/>
      <c r="E74" s="41"/>
      <c r="F74" s="41"/>
      <c r="G74" s="37"/>
      <c r="H74" s="37"/>
      <c r="I74" s="37"/>
      <c r="J74" s="37"/>
      <c r="K74" s="37"/>
      <c r="L74" s="37"/>
      <c r="M74" s="37"/>
      <c r="N74" s="11"/>
    </row>
    <row r="75" ht="15" customHeight="1">
      <c r="A75" s="37"/>
      <c r="B75" s="123">
        <v>43466</v>
      </c>
      <c r="C75" s="123">
        <v>43132</v>
      </c>
      <c r="D75" s="123">
        <v>43160</v>
      </c>
      <c r="E75" s="123">
        <v>43191</v>
      </c>
      <c r="F75" s="123">
        <v>43221</v>
      </c>
      <c r="G75" s="123">
        <v>43252</v>
      </c>
      <c r="H75" s="123">
        <v>43282</v>
      </c>
      <c r="I75" s="124">
        <v>42948</v>
      </c>
      <c r="J75" s="123">
        <v>42979</v>
      </c>
      <c r="K75" s="123">
        <v>43009</v>
      </c>
      <c r="L75" s="123">
        <v>43405</v>
      </c>
      <c r="M75" s="123">
        <v>43435</v>
      </c>
      <c r="N75" s="11"/>
    </row>
    <row r="76" ht="15" customHeight="1">
      <c r="A76" t="s" s="87">
        <v>102</v>
      </c>
      <c r="B76" s="104" cm="1">
        <f t="array" ref="B76">B77+B78</f>
        <v>0</v>
      </c>
      <c r="C76" s="104" cm="1">
        <f t="array" ref="C76">C77+C78</f>
        <v>0</v>
      </c>
      <c r="D76" s="104" cm="1">
        <f t="array" ref="D76">D77+D78</f>
        <v>0</v>
      </c>
      <c r="E76" s="104" cm="1">
        <f t="array" ref="E76">E77+E78</f>
        <v>0</v>
      </c>
      <c r="F76" s="104" cm="1">
        <f t="array" ref="F76">F77+F78</f>
        <v>0</v>
      </c>
      <c r="G76" s="104" cm="1">
        <f t="array" ref="G76">G77+G78</f>
        <v>0</v>
      </c>
      <c r="H76" s="104" cm="1">
        <f t="array" ref="H76">H77+H78</f>
        <v>0</v>
      </c>
      <c r="I76" s="104" cm="1">
        <f t="array" ref="I76">I77+I78</f>
        <v>0</v>
      </c>
      <c r="J76" s="104" cm="1">
        <f t="array" ref="J76">J77+J78</f>
        <v>0</v>
      </c>
      <c r="K76" s="104" cm="1">
        <f t="array" ref="K76">K77+K78</f>
        <v>0</v>
      </c>
      <c r="L76" s="104" cm="1">
        <f t="array" ref="L76">L77+L78</f>
        <v>0</v>
      </c>
      <c r="M76" s="104" cm="1">
        <f t="array" ref="M76">M77+M78</f>
        <v>0</v>
      </c>
      <c r="N76" s="11"/>
    </row>
    <row r="77" ht="15" customHeight="1">
      <c r="A77" t="s" s="87">
        <v>157</v>
      </c>
      <c r="B77" s="41"/>
      <c r="C77" s="41"/>
      <c r="D77" s="41"/>
      <c r="E77" s="41"/>
      <c r="F77" s="41"/>
      <c r="G77" s="143"/>
      <c r="H77" s="80"/>
      <c r="I77" s="136"/>
      <c r="J77" s="30"/>
      <c r="K77" s="30"/>
      <c r="L77" s="30"/>
      <c r="M77" s="30"/>
      <c r="N77" s="11"/>
    </row>
    <row r="78" ht="15" customHeight="1">
      <c r="A78" t="s" s="87">
        <v>158</v>
      </c>
      <c r="B78" s="41"/>
      <c r="C78" s="41"/>
      <c r="D78" s="41"/>
      <c r="E78" s="41"/>
      <c r="F78" s="41"/>
      <c r="G78" s="12"/>
      <c r="H78" s="30"/>
      <c r="I78" s="11"/>
      <c r="J78" s="63"/>
      <c r="K78" s="63"/>
      <c r="L78" s="11"/>
      <c r="M78" s="11"/>
      <c r="N78" s="11"/>
    </row>
    <row r="79" ht="15" customHeight="1">
      <c r="A79" s="37"/>
      <c r="B79" s="41"/>
      <c r="C79" s="41"/>
      <c r="D79" s="41"/>
      <c r="E79" s="41"/>
      <c r="F79" s="41"/>
      <c r="G79" s="12"/>
      <c r="H79" s="11"/>
      <c r="I79" s="11"/>
      <c r="J79" s="63"/>
      <c r="K79" s="63"/>
      <c r="L79" s="11"/>
      <c r="M79" s="11"/>
      <c r="N79" s="11"/>
    </row>
    <row r="80" ht="15" customHeight="1">
      <c r="A80" t="s" s="87">
        <v>105</v>
      </c>
      <c r="B80" s="41"/>
      <c r="C80" s="41"/>
      <c r="D80" s="41"/>
      <c r="E80" s="41"/>
      <c r="F80" s="41"/>
      <c r="G80" s="12"/>
      <c r="H80" s="11"/>
      <c r="I80" s="11"/>
      <c r="J80" s="63"/>
      <c r="K80" s="63"/>
      <c r="L80" s="11"/>
      <c r="M80" s="11"/>
      <c r="N80" s="11"/>
    </row>
    <row r="81" ht="15" customHeight="1">
      <c r="A81" t="s" s="87">
        <v>157</v>
      </c>
      <c r="B81" s="41"/>
      <c r="C81" s="41"/>
      <c r="D81" s="41"/>
      <c r="E81" s="41"/>
      <c r="F81" s="41"/>
      <c r="G81" s="12"/>
      <c r="H81" s="11"/>
      <c r="I81" s="63"/>
      <c r="J81" s="63"/>
      <c r="K81" s="63"/>
      <c r="L81" s="11"/>
      <c r="M81" s="11"/>
      <c r="N81" s="11"/>
    </row>
    <row r="82" ht="15" customHeight="1">
      <c r="A82" t="s" s="87">
        <v>171</v>
      </c>
      <c r="B82" s="41"/>
      <c r="C82" s="41"/>
      <c r="D82" s="41"/>
      <c r="E82" s="41"/>
      <c r="F82" s="41"/>
      <c r="G82" s="12"/>
      <c r="H82" s="11"/>
      <c r="I82" s="11"/>
      <c r="J82" s="63"/>
      <c r="K82" s="63"/>
      <c r="L82" s="11"/>
      <c r="M82" s="11"/>
      <c r="N82" s="11"/>
    </row>
    <row r="83" ht="15" customHeight="1">
      <c r="A83" t="s" s="87">
        <v>160</v>
      </c>
      <c r="B83" s="41"/>
      <c r="C83" s="41"/>
      <c r="D83" s="41"/>
      <c r="E83" s="41"/>
      <c r="F83" s="41"/>
      <c r="G83" s="12"/>
      <c r="H83" s="11"/>
      <c r="I83" s="11"/>
      <c r="J83" s="63"/>
      <c r="K83" s="63"/>
      <c r="L83" s="11"/>
      <c r="M83" s="11"/>
      <c r="N83" s="11"/>
    </row>
    <row r="84" ht="15" customHeight="1">
      <c r="A84" s="37"/>
      <c r="B84" s="41"/>
      <c r="C84" s="41"/>
      <c r="D84" s="41"/>
      <c r="E84" s="41"/>
      <c r="F84" s="41"/>
      <c r="G84" s="13"/>
      <c r="H84" s="13"/>
      <c r="I84" s="13"/>
      <c r="J84" s="13"/>
      <c r="K84" s="13"/>
      <c r="L84" s="13"/>
      <c r="M84" s="13"/>
      <c r="N84" s="11"/>
    </row>
    <row r="85" ht="15" customHeight="1">
      <c r="A85" t="s" s="88">
        <v>108</v>
      </c>
      <c r="B85" t="s" s="14">
        <v>9</v>
      </c>
      <c r="C85" t="s" s="14">
        <v>10</v>
      </c>
      <c r="D85" t="s" s="14">
        <v>11</v>
      </c>
      <c r="E85" t="s" s="14">
        <v>12</v>
      </c>
      <c r="F85" t="s" s="14">
        <v>13</v>
      </c>
      <c r="G85" t="s" s="14">
        <v>14</v>
      </c>
      <c r="H85" t="s" s="14">
        <v>15</v>
      </c>
      <c r="I85" t="s" s="14">
        <v>16</v>
      </c>
      <c r="J85" t="s" s="14">
        <v>17</v>
      </c>
      <c r="K85" t="s" s="14">
        <v>18</v>
      </c>
      <c r="L85" t="s" s="14">
        <v>19</v>
      </c>
      <c r="M85" t="s" s="14">
        <v>20</v>
      </c>
      <c r="N85" s="36"/>
    </row>
    <row r="86" ht="15" customHeight="1">
      <c r="A86" t="s" s="33">
        <v>109</v>
      </c>
      <c r="B86" s="17">
        <v>16</v>
      </c>
      <c r="C86" s="17">
        <v>15</v>
      </c>
      <c r="D86" s="17">
        <v>24</v>
      </c>
      <c r="E86" s="17">
        <v>29</v>
      </c>
      <c r="F86" s="17">
        <v>16</v>
      </c>
      <c r="G86" s="17">
        <v>21</v>
      </c>
      <c r="H86" s="17">
        <v>30</v>
      </c>
      <c r="I86" s="17">
        <v>12</v>
      </c>
      <c r="J86" s="17">
        <v>24</v>
      </c>
      <c r="K86" s="17">
        <v>23</v>
      </c>
      <c r="L86" s="17">
        <v>22</v>
      </c>
      <c r="M86" s="17">
        <v>25</v>
      </c>
      <c r="N86" s="36"/>
    </row>
    <row r="87" ht="15" customHeight="1">
      <c r="A87" t="s" s="33">
        <v>110</v>
      </c>
      <c r="B87" s="17">
        <v>30</v>
      </c>
      <c r="C87" s="17">
        <v>35</v>
      </c>
      <c r="D87" s="17">
        <v>25</v>
      </c>
      <c r="E87" s="17">
        <v>24</v>
      </c>
      <c r="F87" s="17">
        <v>30</v>
      </c>
      <c r="G87" s="17">
        <v>36</v>
      </c>
      <c r="H87" s="17">
        <v>24</v>
      </c>
      <c r="I87" s="17">
        <v>46</v>
      </c>
      <c r="J87" s="17">
        <v>38</v>
      </c>
      <c r="K87" s="17">
        <v>32</v>
      </c>
      <c r="L87" s="17">
        <v>48</v>
      </c>
      <c r="M87" s="17">
        <v>41</v>
      </c>
      <c r="N87" s="36"/>
    </row>
    <row r="88" ht="15" customHeight="1">
      <c r="A88" s="37"/>
      <c r="B88" s="37"/>
      <c r="C88" s="41"/>
      <c r="D88" s="41"/>
      <c r="E88" s="41"/>
      <c r="F88" s="41"/>
      <c r="G88" s="37"/>
      <c r="H88" s="37"/>
      <c r="I88" s="37"/>
      <c r="J88" s="37"/>
      <c r="K88" s="37"/>
      <c r="L88" s="37"/>
      <c r="M88" s="37"/>
      <c r="N88" s="11"/>
    </row>
    <row r="89" ht="15" customHeight="1">
      <c r="A89" t="s" s="32">
        <v>28</v>
      </c>
      <c r="B89" t="s" s="14">
        <v>9</v>
      </c>
      <c r="C89" t="s" s="14">
        <v>10</v>
      </c>
      <c r="D89" t="s" s="14">
        <v>11</v>
      </c>
      <c r="E89" t="s" s="14">
        <v>12</v>
      </c>
      <c r="F89" t="s" s="14">
        <v>13</v>
      </c>
      <c r="G89" t="s" s="14">
        <v>14</v>
      </c>
      <c r="H89" t="s" s="14">
        <v>15</v>
      </c>
      <c r="I89" t="s" s="14">
        <v>16</v>
      </c>
      <c r="J89" t="s" s="14">
        <v>17</v>
      </c>
      <c r="K89" t="s" s="14">
        <v>18</v>
      </c>
      <c r="L89" t="s" s="14">
        <v>19</v>
      </c>
      <c r="M89" t="s" s="14">
        <v>20</v>
      </c>
      <c r="N89" s="36"/>
    </row>
    <row r="90" ht="15" customHeight="1">
      <c r="A90" t="s" s="42">
        <v>45</v>
      </c>
      <c r="B90" s="69" cm="1">
        <f t="array" ref="B90">B71/B42</f>
        <v>0.293080054274084</v>
      </c>
      <c r="C90" s="69" cm="1">
        <f t="array" ref="C90">C71/C42</f>
        <v>0</v>
      </c>
      <c r="D90" s="69" cm="1">
        <f t="array" ref="D90">D71/D42</f>
        <v>0</v>
      </c>
      <c r="E90" s="69" cm="1">
        <f t="array" ref="E90">E71/E42</f>
        <v>0</v>
      </c>
      <c r="F90" s="69" cm="1">
        <f t="array" ref="F90">F71/F42</f>
        <v>0</v>
      </c>
      <c r="G90" s="69" cm="1">
        <f t="array" ref="G90">G71/G42</f>
        <v>0.248218527315914</v>
      </c>
      <c r="H90" s="69" cm="1">
        <f t="array" ref="H90">H71/H42</f>
        <v>0</v>
      </c>
      <c r="I90" s="69" cm="1">
        <f t="array" ref="I90">I71/I42</f>
        <v>0</v>
      </c>
      <c r="J90" s="69" cm="1">
        <f t="array" ref="J90">J71/J42</f>
        <v>0</v>
      </c>
      <c r="K90" s="43" cm="1">
        <f t="array" ref="K90">K71/K42</f>
        <v>0</v>
      </c>
      <c r="L90" s="43" cm="1">
        <f t="array" ref="L90">L71/L42</f>
        <v>0</v>
      </c>
      <c r="M90" s="43" cm="1">
        <f t="array" ref="M90">M71/M42</f>
        <v>0.698224852071006</v>
      </c>
      <c r="N90" s="11"/>
    </row>
    <row r="91" ht="15" customHeight="1">
      <c r="A91" s="11"/>
      <c r="B91" s="11"/>
      <c r="C91" s="12"/>
      <c r="D91" s="12"/>
      <c r="E91" s="12"/>
      <c r="F91" s="12"/>
      <c r="G91" s="11"/>
      <c r="H91" s="11"/>
      <c r="I91" s="11"/>
      <c r="J91" s="11"/>
      <c r="K91" s="11"/>
      <c r="L91" s="11"/>
      <c r="M91" s="11"/>
      <c r="N91" s="11"/>
    </row>
    <row r="92" ht="15" customHeight="1">
      <c r="A92" s="13"/>
      <c r="B92" s="13"/>
      <c r="C92" s="44"/>
      <c r="D92" s="44"/>
      <c r="E92" s="44"/>
      <c r="F92" s="44"/>
      <c r="G92" s="13"/>
      <c r="H92" s="13"/>
      <c r="I92" s="13"/>
      <c r="J92" s="13"/>
      <c r="K92" s="13"/>
      <c r="L92" s="13"/>
      <c r="M92" s="13"/>
      <c r="N92" s="11"/>
    </row>
    <row r="93" ht="15" customHeight="1">
      <c r="A93" t="s" s="32">
        <v>46</v>
      </c>
      <c r="B93" t="s" s="14">
        <v>9</v>
      </c>
      <c r="C93" t="s" s="14">
        <v>10</v>
      </c>
      <c r="D93" t="s" s="14">
        <v>11</v>
      </c>
      <c r="E93" t="s" s="14">
        <v>12</v>
      </c>
      <c r="F93" t="s" s="14">
        <v>13</v>
      </c>
      <c r="G93" t="s" s="14">
        <v>14</v>
      </c>
      <c r="H93" t="s" s="14">
        <v>15</v>
      </c>
      <c r="I93" t="s" s="14">
        <v>16</v>
      </c>
      <c r="J93" t="s" s="14">
        <v>17</v>
      </c>
      <c r="K93" t="s" s="14">
        <v>18</v>
      </c>
      <c r="L93" t="s" s="14">
        <v>19</v>
      </c>
      <c r="M93" t="s" s="14">
        <v>20</v>
      </c>
      <c r="N93" s="36"/>
    </row>
    <row r="94" ht="15" customHeight="1">
      <c r="A94" t="s" s="42">
        <v>47</v>
      </c>
      <c r="B94" s="89"/>
      <c r="C94" s="89"/>
      <c r="D94" s="89"/>
      <c r="E94" s="89"/>
      <c r="F94" s="89"/>
      <c r="G94" s="89"/>
      <c r="H94" s="30"/>
      <c r="I94" s="30"/>
      <c r="J94" s="30"/>
      <c r="K94" s="30"/>
      <c r="L94" s="30"/>
      <c r="M94" s="105">
        <v>70</v>
      </c>
      <c r="N94" s="11"/>
    </row>
    <row r="95" ht="15" customHeight="1">
      <c r="A95" t="s" s="54">
        <v>48</v>
      </c>
      <c r="B95" s="12"/>
      <c r="C95" s="12"/>
      <c r="D95" s="12"/>
      <c r="E95" s="12"/>
      <c r="F95" s="12"/>
      <c r="G95" s="12"/>
      <c r="H95" s="11"/>
      <c r="I95" s="11"/>
      <c r="J95" s="11"/>
      <c r="K95" s="11"/>
      <c r="L95" s="11"/>
      <c r="M95" s="103">
        <v>53</v>
      </c>
      <c r="N95" s="11"/>
    </row>
    <row r="96" ht="15" customHeight="1">
      <c r="A96" t="s" s="54">
        <v>49</v>
      </c>
      <c r="B96" s="12"/>
      <c r="C96" s="12"/>
      <c r="D96" s="12"/>
      <c r="E96" s="12"/>
      <c r="F96" s="12"/>
      <c r="G96" s="12"/>
      <c r="H96" s="11"/>
      <c r="I96" s="11"/>
      <c r="J96" s="11"/>
      <c r="K96" s="11"/>
      <c r="L96" s="11"/>
      <c r="M96" s="103">
        <v>24</v>
      </c>
      <c r="N96" s="11"/>
    </row>
    <row r="97" ht="15" customHeight="1">
      <c r="A97" t="s" s="54">
        <v>50</v>
      </c>
      <c r="B97" s="103">
        <v>23</v>
      </c>
      <c r="C97" s="103">
        <v>25</v>
      </c>
      <c r="D97" s="103">
        <v>24</v>
      </c>
      <c r="E97" s="103">
        <v>24</v>
      </c>
      <c r="F97" s="103">
        <v>24</v>
      </c>
      <c r="G97" s="103">
        <v>24</v>
      </c>
      <c r="H97" s="103">
        <v>24</v>
      </c>
      <c r="I97" s="103">
        <v>24</v>
      </c>
      <c r="J97" s="55">
        <v>26</v>
      </c>
      <c r="K97" s="55">
        <v>28</v>
      </c>
      <c r="L97" s="55">
        <v>28</v>
      </c>
      <c r="M97" s="103">
        <v>28</v>
      </c>
      <c r="N97" s="11"/>
    </row>
    <row r="98" ht="15" customHeight="1">
      <c r="A98" t="s" s="54">
        <v>33</v>
      </c>
      <c r="B98" s="12"/>
      <c r="C98" s="12"/>
      <c r="D98" s="12"/>
      <c r="E98" s="12"/>
      <c r="F98" s="12"/>
      <c r="G98" s="12"/>
      <c r="H98" s="11"/>
      <c r="I98" s="11"/>
      <c r="J98" s="11"/>
      <c r="K98" s="11"/>
      <c r="L98" s="11"/>
      <c r="M98" s="103" cm="1">
        <f t="array" ref="M98">63+22</f>
        <v>85</v>
      </c>
      <c r="N98" s="11"/>
    </row>
    <row r="99" ht="15" customHeight="1">
      <c r="A99" t="s" s="54">
        <v>54</v>
      </c>
      <c r="B99" s="12"/>
      <c r="C99" s="12"/>
      <c r="D99" s="12"/>
      <c r="E99" s="12"/>
      <c r="F99" s="12"/>
      <c r="G99" s="12"/>
      <c r="H99" s="11"/>
      <c r="I99" s="11"/>
      <c r="J99" s="11"/>
      <c r="K99" s="11"/>
      <c r="L99" s="11"/>
      <c r="M99" s="103">
        <v>54</v>
      </c>
      <c r="N99" s="11"/>
    </row>
    <row r="100" ht="15" customHeight="1">
      <c r="A100" t="s" s="54">
        <v>89</v>
      </c>
      <c r="B100" s="12"/>
      <c r="C100" s="12"/>
      <c r="D100" s="12"/>
      <c r="E100" s="12"/>
      <c r="F100" s="12"/>
      <c r="G100" s="12"/>
      <c r="H100" s="11"/>
      <c r="I100" s="11"/>
      <c r="J100" s="11"/>
      <c r="K100" s="11"/>
      <c r="L100" s="11"/>
      <c r="M100" s="103">
        <v>110</v>
      </c>
      <c r="N100" s="11"/>
    </row>
    <row r="101" ht="15" customHeight="1">
      <c r="A101" t="s" s="54">
        <v>51</v>
      </c>
      <c r="B101" s="103">
        <v>78</v>
      </c>
      <c r="C101" s="12"/>
      <c r="D101" s="12"/>
      <c r="E101" s="12"/>
      <c r="F101" s="12"/>
      <c r="G101" s="103">
        <v>91</v>
      </c>
      <c r="H101" s="11"/>
      <c r="I101" s="11"/>
      <c r="J101" s="11"/>
      <c r="K101" s="11"/>
      <c r="L101" s="11"/>
      <c r="M101" s="103">
        <v>91</v>
      </c>
      <c r="N101" s="11"/>
    </row>
    <row r="102" ht="15" customHeight="1">
      <c r="A102" t="s" s="54">
        <v>41</v>
      </c>
      <c r="B102" s="12"/>
      <c r="C102" s="12"/>
      <c r="D102" s="12"/>
      <c r="E102" s="12"/>
      <c r="F102" s="12"/>
      <c r="G102" s="12"/>
      <c r="H102" s="11"/>
      <c r="I102" s="11"/>
      <c r="J102" s="11"/>
      <c r="K102" s="11"/>
      <c r="L102" s="11"/>
      <c r="M102" s="103">
        <v>7</v>
      </c>
      <c r="N102" s="11"/>
    </row>
    <row r="103" ht="15" customHeight="1">
      <c r="A103" t="s" s="54">
        <v>40</v>
      </c>
      <c r="B103" s="12"/>
      <c r="C103" s="12"/>
      <c r="D103" s="12"/>
      <c r="E103" s="12"/>
      <c r="F103" s="12"/>
      <c r="G103" s="12"/>
      <c r="H103" s="11"/>
      <c r="I103" s="11"/>
      <c r="J103" s="11"/>
      <c r="K103" s="11"/>
      <c r="L103" s="11"/>
      <c r="M103" s="103">
        <v>68</v>
      </c>
      <c r="N103" s="11"/>
    </row>
    <row r="104" ht="15" customHeight="1">
      <c r="A104" t="s" s="54">
        <v>52</v>
      </c>
      <c r="B104" s="12"/>
      <c r="C104" s="12"/>
      <c r="D104" s="12"/>
      <c r="E104" s="12"/>
      <c r="F104" s="12"/>
      <c r="G104" s="12"/>
      <c r="H104" s="11"/>
      <c r="I104" s="11"/>
      <c r="J104" s="11"/>
      <c r="K104" s="11"/>
      <c r="L104" s="11"/>
      <c r="M104" s="103">
        <v>147</v>
      </c>
      <c r="N104" s="11"/>
    </row>
    <row r="105" ht="15" customHeight="1">
      <c r="A105" t="s" s="54">
        <v>170</v>
      </c>
      <c r="B105" s="12"/>
      <c r="C105" s="12"/>
      <c r="D105" s="12"/>
      <c r="E105" s="12"/>
      <c r="F105" s="12"/>
      <c r="G105" s="12"/>
      <c r="H105" s="11"/>
      <c r="I105" s="11"/>
      <c r="J105" s="11"/>
      <c r="K105" s="11"/>
      <c r="L105" s="11"/>
      <c r="M105" s="103">
        <v>28</v>
      </c>
      <c r="N105" s="11"/>
    </row>
    <row r="106" ht="15" customHeight="1">
      <c r="A106" t="s" s="54">
        <v>90</v>
      </c>
      <c r="B106" s="12"/>
      <c r="C106" s="12"/>
      <c r="D106" s="12"/>
      <c r="E106" s="12"/>
      <c r="F106" s="12"/>
      <c r="G106" s="12"/>
      <c r="H106" s="11"/>
      <c r="I106" s="11"/>
      <c r="J106" s="11"/>
      <c r="K106" s="11"/>
      <c r="L106" s="11"/>
      <c r="M106" s="103">
        <v>18</v>
      </c>
      <c r="N106" s="11"/>
    </row>
    <row r="107" ht="15" customHeight="1">
      <c r="A107" t="s" s="54">
        <v>88</v>
      </c>
      <c r="B107" s="12"/>
      <c r="C107" s="12"/>
      <c r="D107" s="12"/>
      <c r="E107" s="12"/>
      <c r="F107" s="12"/>
      <c r="G107" s="12"/>
      <c r="H107" s="11"/>
      <c r="I107" s="11"/>
      <c r="J107" s="11"/>
      <c r="K107" s="11"/>
      <c r="L107" s="11"/>
      <c r="M107" s="103">
        <v>13</v>
      </c>
      <c r="N107" s="11"/>
    </row>
    <row r="108" ht="15" customHeight="1">
      <c r="A108" t="s" s="54">
        <v>111</v>
      </c>
      <c r="B108" s="12"/>
      <c r="C108" s="12"/>
      <c r="D108" s="12"/>
      <c r="E108" s="12"/>
      <c r="F108" s="12"/>
      <c r="G108" s="12"/>
      <c r="H108" s="11"/>
      <c r="I108" s="11"/>
      <c r="J108" s="11"/>
      <c r="K108" s="11"/>
      <c r="L108" s="11"/>
      <c r="M108" s="103">
        <v>24</v>
      </c>
      <c r="N108" s="11"/>
    </row>
    <row r="109" ht="15" customHeight="1">
      <c r="A109" t="s" s="54">
        <v>112</v>
      </c>
      <c r="B109" s="12"/>
      <c r="C109" s="12"/>
      <c r="D109" s="12"/>
      <c r="E109" s="12"/>
      <c r="F109" s="12"/>
      <c r="G109" s="12"/>
      <c r="H109" s="11"/>
      <c r="I109" s="11"/>
      <c r="J109" s="11"/>
      <c r="K109" s="11"/>
      <c r="L109" s="11"/>
      <c r="M109" s="103">
        <v>27</v>
      </c>
      <c r="N109" s="11"/>
    </row>
    <row r="110" ht="15" customHeight="1">
      <c r="A110" t="s" s="54">
        <v>127</v>
      </c>
      <c r="B110" s="12"/>
      <c r="C110" s="12"/>
      <c r="D110" s="12"/>
      <c r="E110" s="12"/>
      <c r="F110" s="12"/>
      <c r="G110" s="12"/>
      <c r="H110" s="11"/>
      <c r="I110" s="11"/>
      <c r="J110" s="11"/>
      <c r="K110" s="11"/>
      <c r="L110" s="11"/>
      <c r="M110" s="103">
        <v>23</v>
      </c>
      <c r="N110" s="11"/>
    </row>
    <row r="111" ht="15" customHeight="1">
      <c r="A111" t="s" s="54">
        <v>125</v>
      </c>
      <c r="B111" s="12"/>
      <c r="C111" s="12"/>
      <c r="D111" s="12"/>
      <c r="E111" s="12"/>
      <c r="F111" s="12"/>
      <c r="G111" s="12"/>
      <c r="H111" s="11"/>
      <c r="I111" s="11"/>
      <c r="J111" s="11"/>
      <c r="K111" s="11"/>
      <c r="L111" s="11"/>
      <c r="M111" s="103">
        <v>19</v>
      </c>
      <c r="N111" s="11"/>
    </row>
    <row r="112" ht="15" customHeight="1">
      <c r="A112" t="s" s="54">
        <v>113</v>
      </c>
      <c r="B112" s="12"/>
      <c r="C112" s="12"/>
      <c r="D112" s="12"/>
      <c r="E112" s="12"/>
      <c r="F112" s="12"/>
      <c r="G112" s="12"/>
      <c r="H112" s="11"/>
      <c r="I112" s="11"/>
      <c r="J112" s="11"/>
      <c r="K112" s="11"/>
      <c r="L112" s="11"/>
      <c r="M112" s="12"/>
      <c r="N112" s="11"/>
    </row>
    <row r="113" ht="15" customHeight="1">
      <c r="A113" t="s" s="54">
        <v>22</v>
      </c>
      <c r="B113" s="103" cm="1">
        <f t="array" ref="B113">SUM(B94:B112)</f>
        <v>101</v>
      </c>
      <c r="C113" s="103" cm="1">
        <f t="array" ref="C113">SUM(C94:C112)</f>
        <v>25</v>
      </c>
      <c r="D113" s="103" cm="1">
        <f t="array" ref="D113">SUM(D94:D112)</f>
        <v>24</v>
      </c>
      <c r="E113" s="103" cm="1">
        <f t="array" ref="E113">SUM(E94:E112)</f>
        <v>24</v>
      </c>
      <c r="F113" s="103" cm="1">
        <f t="array" ref="F113">SUM(F94:F112)</f>
        <v>24</v>
      </c>
      <c r="G113" s="103" cm="1">
        <f t="array" ref="G113">SUM(G94:G112)</f>
        <v>115</v>
      </c>
      <c r="H113" s="55" cm="1">
        <f t="array" ref="H113">SUM(H94:H112)</f>
        <v>24</v>
      </c>
      <c r="I113" s="55" cm="1">
        <f t="array" ref="I113">SUM(I94:I112)</f>
        <v>24</v>
      </c>
      <c r="J113" s="55" cm="1">
        <f t="array" ref="J113">SUM(J94:J112)</f>
        <v>26</v>
      </c>
      <c r="K113" s="55" cm="1">
        <f t="array" ref="K113">SUM(K94:K112)</f>
        <v>28</v>
      </c>
      <c r="L113" s="55" cm="1">
        <f t="array" ref="L113">SUM(L94:L112)</f>
        <v>28</v>
      </c>
      <c r="M113" s="103" cm="1">
        <f t="array" ref="M113">SUM(M94:M112)</f>
        <v>889</v>
      </c>
      <c r="N113" s="11"/>
    </row>
    <row r="114" ht="15" customHeight="1">
      <c r="A114" s="13"/>
      <c r="B114" s="13"/>
      <c r="C114" s="13"/>
      <c r="D114" s="13"/>
      <c r="E114" s="13"/>
      <c r="F114" s="13"/>
      <c r="G114" s="13"/>
      <c r="H114" s="13"/>
      <c r="I114" s="13"/>
      <c r="J114" s="13"/>
      <c r="K114" s="13"/>
      <c r="L114" s="13"/>
      <c r="M114" s="13"/>
      <c r="N114" s="11"/>
    </row>
    <row r="115" ht="15" customHeight="1">
      <c r="A115" t="s" s="32">
        <v>28</v>
      </c>
      <c r="B115" t="s" s="14">
        <v>9</v>
      </c>
      <c r="C115" t="s" s="14">
        <v>10</v>
      </c>
      <c r="D115" t="s" s="14">
        <v>11</v>
      </c>
      <c r="E115" t="s" s="14">
        <v>12</v>
      </c>
      <c r="F115" t="s" s="14">
        <v>13</v>
      </c>
      <c r="G115" t="s" s="14">
        <v>14</v>
      </c>
      <c r="H115" t="s" s="14">
        <v>15</v>
      </c>
      <c r="I115" t="s" s="14">
        <v>16</v>
      </c>
      <c r="J115" t="s" s="14">
        <v>17</v>
      </c>
      <c r="K115" t="s" s="14">
        <v>18</v>
      </c>
      <c r="L115" t="s" s="14">
        <v>19</v>
      </c>
      <c r="M115" t="s" s="14">
        <v>20</v>
      </c>
      <c r="N115" s="36"/>
    </row>
    <row r="116" ht="15" customHeight="1">
      <c r="A116" t="s" s="42">
        <v>56</v>
      </c>
      <c r="B116" s="23" cm="1">
        <f t="array" ref="B116">B11</f>
        <v>452601511</v>
      </c>
      <c r="C116" s="23" cm="1">
        <f t="array" ref="C116">C11</f>
        <v>294877283</v>
      </c>
      <c r="D116" s="23" cm="1">
        <f t="array" ref="D116">D11</f>
        <v>353387543</v>
      </c>
      <c r="E116" s="23" cm="1">
        <f t="array" ref="E116">E11</f>
        <v>351124344</v>
      </c>
      <c r="F116" s="23" cm="1">
        <f t="array" ref="F116">F11</f>
        <v>387536148</v>
      </c>
      <c r="G116" s="23" cm="1">
        <f t="array" ref="G116">G11</f>
        <v>291202817</v>
      </c>
      <c r="H116" s="23" cm="1">
        <f t="array" ref="H116">H11</f>
        <v>405026486</v>
      </c>
      <c r="I116" s="23" cm="1">
        <f t="array" ref="I116">I11</f>
        <v>309996905</v>
      </c>
      <c r="J116" s="23" cm="1">
        <f t="array" ref="J116">J11</f>
        <v>346111936</v>
      </c>
      <c r="K116" s="23" cm="1">
        <f t="array" ref="K116">K11</f>
        <v>368700890</v>
      </c>
      <c r="L116" s="23" cm="1">
        <f t="array" ref="L116">L11</f>
        <v>315975047</v>
      </c>
      <c r="M116" s="23" cm="1">
        <f t="array" ref="M116">M11</f>
        <v>410311974</v>
      </c>
      <c r="N116" s="11"/>
    </row>
    <row r="117" ht="15" customHeight="1">
      <c r="A117" s="11"/>
      <c r="B117" s="11"/>
      <c r="C117" s="11"/>
      <c r="D117" s="11"/>
      <c r="E117" s="11"/>
      <c r="F117" s="11"/>
      <c r="G117" s="11"/>
      <c r="H117" s="11"/>
      <c r="I117" s="11"/>
      <c r="J117" s="11"/>
      <c r="K117" s="11"/>
      <c r="L117" s="11"/>
      <c r="M117" s="11"/>
      <c r="N117" s="11"/>
    </row>
    <row r="118" ht="15" customHeight="1">
      <c r="A118" s="11"/>
      <c r="B118" s="11"/>
      <c r="C118" s="11"/>
      <c r="D118" s="11"/>
      <c r="E118" s="11"/>
      <c r="F118" s="11"/>
      <c r="G118" s="11"/>
      <c r="H118" s="11"/>
      <c r="I118" s="11"/>
      <c r="J118" s="11"/>
      <c r="K118" s="11"/>
      <c r="L118" s="11"/>
      <c r="M118" s="12"/>
      <c r="N118" s="11"/>
    </row>
    <row r="119" ht="15" customHeight="1">
      <c r="A119" s="11"/>
      <c r="B119" s="11"/>
      <c r="C119" s="11"/>
      <c r="D119" s="11"/>
      <c r="E119" s="11"/>
      <c r="F119" s="11"/>
      <c r="G119" s="11"/>
      <c r="H119" s="11"/>
      <c r="I119" s="11"/>
      <c r="J119" s="11"/>
      <c r="K119" s="11"/>
      <c r="L119" s="11"/>
      <c r="M119" s="12"/>
      <c r="N119" s="11"/>
    </row>
    <row r="120" ht="15" customHeight="1">
      <c r="A120" t="s" s="54">
        <v>161</v>
      </c>
      <c r="B120" s="11"/>
      <c r="C120" s="11"/>
      <c r="D120" s="11"/>
      <c r="E120" s="11"/>
      <c r="F120" s="11"/>
      <c r="G120" s="11"/>
      <c r="H120" s="11"/>
      <c r="I120" s="11"/>
      <c r="J120" s="11"/>
      <c r="K120" s="11"/>
      <c r="L120" s="11"/>
      <c r="M120" s="12"/>
      <c r="N120" s="11"/>
    </row>
    <row r="121" ht="15" customHeight="1">
      <c r="A121" t="s" s="54">
        <v>125</v>
      </c>
      <c r="B121" s="11"/>
      <c r="C121" s="11"/>
      <c r="D121" s="11"/>
      <c r="E121" s="11"/>
      <c r="F121" s="11"/>
      <c r="G121" s="11"/>
      <c r="H121" s="11"/>
      <c r="I121" s="11"/>
      <c r="J121" s="11"/>
      <c r="K121" s="11"/>
      <c r="L121" s="11"/>
      <c r="M121" s="12"/>
      <c r="N121" s="11"/>
    </row>
    <row r="122" ht="15" customHeight="1">
      <c r="A122" t="s" s="148">
        <v>188</v>
      </c>
      <c r="B122" s="11"/>
      <c r="C122" s="11"/>
      <c r="D122" s="11"/>
      <c r="E122" s="11"/>
      <c r="F122" s="11"/>
      <c r="G122" s="11"/>
      <c r="H122" s="11"/>
      <c r="I122" s="11"/>
      <c r="J122" s="11"/>
      <c r="K122" s="11"/>
      <c r="L122" s="11"/>
      <c r="M122" s="103">
        <v>5</v>
      </c>
      <c r="N122" s="11"/>
    </row>
    <row r="123" ht="15" customHeight="1">
      <c r="A123" t="s" s="148">
        <v>189</v>
      </c>
      <c r="B123" s="11"/>
      <c r="C123" s="11"/>
      <c r="D123" s="11"/>
      <c r="E123" s="11"/>
      <c r="F123" s="11"/>
      <c r="G123" s="11"/>
      <c r="H123" s="11"/>
      <c r="I123" s="11"/>
      <c r="J123" s="11"/>
      <c r="K123" s="11"/>
      <c r="L123" s="11"/>
      <c r="M123" s="103">
        <v>76</v>
      </c>
      <c r="N123" s="11"/>
    </row>
    <row r="124" ht="15" customHeight="1">
      <c r="A124" t="s" s="54">
        <v>90</v>
      </c>
      <c r="B124" s="16"/>
      <c r="C124" s="16"/>
      <c r="D124" s="11"/>
      <c r="E124" s="11"/>
      <c r="F124" s="28"/>
      <c r="G124" s="11"/>
      <c r="H124" s="11"/>
      <c r="I124" s="11"/>
      <c r="J124" s="11"/>
      <c r="K124" s="11"/>
      <c r="L124" s="11"/>
      <c r="M124" s="12"/>
      <c r="N124" s="11"/>
    </row>
    <row r="125" ht="15" customHeight="1">
      <c r="A125" t="s" s="148">
        <v>188</v>
      </c>
      <c r="B125" s="12"/>
      <c r="C125" s="12"/>
      <c r="D125" s="11"/>
      <c r="E125" s="11"/>
      <c r="F125" s="28"/>
      <c r="G125" s="11"/>
      <c r="H125" s="11"/>
      <c r="I125" s="11"/>
      <c r="J125" s="11"/>
      <c r="K125" s="11"/>
      <c r="L125" s="11"/>
      <c r="M125" s="103">
        <v>5</v>
      </c>
      <c r="N125" s="11"/>
    </row>
    <row r="126" ht="15" customHeight="1">
      <c r="A126" t="s" s="148">
        <v>189</v>
      </c>
      <c r="B126" s="12"/>
      <c r="C126" s="12"/>
      <c r="D126" s="11"/>
      <c r="E126" s="11"/>
      <c r="F126" s="28"/>
      <c r="G126" s="11"/>
      <c r="H126" s="11"/>
      <c r="I126" s="11"/>
      <c r="J126" s="11"/>
      <c r="K126" s="11"/>
      <c r="L126" s="11"/>
      <c r="M126" s="103">
        <v>26</v>
      </c>
      <c r="N126" s="11"/>
    </row>
    <row r="127" ht="15" customHeight="1">
      <c r="A127" t="s" s="54">
        <v>170</v>
      </c>
      <c r="B127" s="12"/>
      <c r="C127" s="12"/>
      <c r="D127" s="11"/>
      <c r="E127" s="11"/>
      <c r="F127" s="28"/>
      <c r="G127" s="11"/>
      <c r="H127" s="11"/>
      <c r="I127" s="11"/>
      <c r="J127" s="11"/>
      <c r="K127" s="11"/>
      <c r="L127" s="11"/>
      <c r="M127" s="12"/>
      <c r="N127" s="11"/>
    </row>
    <row r="128" ht="15" customHeight="1">
      <c r="A128" t="s" s="148">
        <v>188</v>
      </c>
      <c r="B128" s="12"/>
      <c r="C128" s="12"/>
      <c r="D128" s="11"/>
      <c r="E128" s="11"/>
      <c r="F128" s="28"/>
      <c r="G128" s="11"/>
      <c r="H128" s="11"/>
      <c r="I128" s="11"/>
      <c r="J128" s="11"/>
      <c r="K128" s="11"/>
      <c r="L128" s="11"/>
      <c r="M128" s="103">
        <v>3</v>
      </c>
      <c r="N128" s="11"/>
    </row>
    <row r="129" ht="15" customHeight="1">
      <c r="A129" t="s" s="148">
        <v>189</v>
      </c>
      <c r="B129" s="12"/>
      <c r="C129" s="12"/>
      <c r="D129" s="11"/>
      <c r="E129" s="11"/>
      <c r="F129" s="28"/>
      <c r="G129" s="11"/>
      <c r="H129" s="11"/>
      <c r="I129" s="11"/>
      <c r="J129" s="11"/>
      <c r="K129" s="11"/>
      <c r="L129" s="11"/>
      <c r="M129" s="103">
        <v>28</v>
      </c>
      <c r="N129" s="11"/>
    </row>
    <row r="130" ht="15" customHeight="1">
      <c r="A130" t="s" s="54">
        <v>40</v>
      </c>
      <c r="B130" s="12"/>
      <c r="C130" s="12"/>
      <c r="D130" s="11"/>
      <c r="E130" s="11"/>
      <c r="F130" s="11"/>
      <c r="G130" s="11"/>
      <c r="H130" s="11"/>
      <c r="I130" s="11"/>
      <c r="J130" s="11"/>
      <c r="K130" s="11"/>
      <c r="L130" s="11"/>
      <c r="M130" s="12"/>
      <c r="N130" s="11"/>
    </row>
    <row r="131" ht="15" customHeight="1">
      <c r="A131" t="s" s="148">
        <v>188</v>
      </c>
      <c r="B131" s="12"/>
      <c r="C131" s="12"/>
      <c r="D131" s="11"/>
      <c r="E131" s="11"/>
      <c r="F131" s="11"/>
      <c r="G131" s="11"/>
      <c r="H131" s="11"/>
      <c r="I131" s="11"/>
      <c r="J131" s="11"/>
      <c r="K131" s="11"/>
      <c r="L131" s="11"/>
      <c r="M131" s="103">
        <v>10</v>
      </c>
      <c r="N131" s="11"/>
    </row>
    <row r="132" ht="15" customHeight="1">
      <c r="A132" t="s" s="148">
        <v>189</v>
      </c>
      <c r="B132" s="11"/>
      <c r="C132" s="11"/>
      <c r="D132" s="11"/>
      <c r="E132" s="11"/>
      <c r="F132" s="28"/>
      <c r="G132" s="11"/>
      <c r="H132" s="11"/>
      <c r="I132" s="11"/>
      <c r="J132" s="11"/>
      <c r="K132" s="11"/>
      <c r="L132" s="11"/>
      <c r="M132" s="103">
        <v>120</v>
      </c>
      <c r="N132" s="11"/>
    </row>
    <row r="133" ht="15" customHeight="1">
      <c r="A133" t="s" s="54">
        <v>190</v>
      </c>
      <c r="B133" s="16"/>
      <c r="C133" s="16"/>
      <c r="D133" s="11"/>
      <c r="E133" s="11"/>
      <c r="F133" s="11"/>
      <c r="G133" s="11"/>
      <c r="H133" s="11"/>
      <c r="I133" s="11"/>
      <c r="J133" s="11"/>
      <c r="K133" s="11"/>
      <c r="L133" s="11"/>
      <c r="M133" s="12"/>
      <c r="N133" s="11"/>
    </row>
    <row r="134" ht="15" customHeight="1">
      <c r="A134" t="s" s="148">
        <v>188</v>
      </c>
      <c r="B134" s="12"/>
      <c r="C134" s="113"/>
      <c r="D134" s="11"/>
      <c r="E134" s="11"/>
      <c r="F134" s="11"/>
      <c r="G134" s="11"/>
      <c r="H134" s="11"/>
      <c r="I134" s="11"/>
      <c r="J134" s="11"/>
      <c r="K134" s="11"/>
      <c r="L134" s="11"/>
      <c r="M134" s="103">
        <v>5</v>
      </c>
      <c r="N134" s="11"/>
    </row>
    <row r="135" ht="15" customHeight="1">
      <c r="A135" t="s" s="148">
        <v>189</v>
      </c>
      <c r="B135" s="12"/>
      <c r="C135" s="113"/>
      <c r="D135" s="11"/>
      <c r="E135" s="11"/>
      <c r="F135" s="11"/>
      <c r="G135" s="11"/>
      <c r="H135" s="11"/>
      <c r="I135" s="11"/>
      <c r="J135" s="11"/>
      <c r="K135" s="11"/>
      <c r="L135" s="11"/>
      <c r="M135" s="103" cm="1">
        <f t="array" ref="M135">24*M134</f>
        <v>120</v>
      </c>
      <c r="N135" s="11"/>
    </row>
    <row r="136" ht="15" customHeight="1">
      <c r="A136" t="s" s="54">
        <v>41</v>
      </c>
      <c r="B136" s="12"/>
      <c r="C136" s="11"/>
      <c r="D136" s="11"/>
      <c r="E136" s="11"/>
      <c r="F136" s="11"/>
      <c r="G136" s="11"/>
      <c r="H136" s="11"/>
      <c r="I136" s="11"/>
      <c r="J136" s="11"/>
      <c r="K136" s="11"/>
      <c r="L136" s="11"/>
      <c r="M136" s="12"/>
      <c r="N136" s="11"/>
    </row>
    <row r="137" ht="15" customHeight="1">
      <c r="A137" t="s" s="148">
        <v>188</v>
      </c>
      <c r="B137" s="11"/>
      <c r="C137" s="11"/>
      <c r="D137" s="11"/>
      <c r="E137" s="11"/>
      <c r="F137" s="11"/>
      <c r="G137" s="11"/>
      <c r="H137" s="11"/>
      <c r="I137" s="11"/>
      <c r="J137" s="11"/>
      <c r="K137" s="11"/>
      <c r="L137" s="11"/>
      <c r="M137" s="103">
        <v>5</v>
      </c>
      <c r="N137" s="11"/>
    </row>
    <row r="138" ht="15" customHeight="1">
      <c r="A138" t="s" s="148">
        <v>189</v>
      </c>
      <c r="B138" s="16"/>
      <c r="C138" s="16"/>
      <c r="D138" s="11"/>
      <c r="E138" s="11"/>
      <c r="F138" s="11"/>
      <c r="G138" s="11"/>
      <c r="H138" s="11"/>
      <c r="I138" s="11"/>
      <c r="J138" s="11"/>
      <c r="K138" s="11"/>
      <c r="L138" s="11"/>
      <c r="M138" s="103">
        <v>47</v>
      </c>
      <c r="N138" s="11"/>
    </row>
    <row r="139" ht="15" customHeight="1">
      <c r="A139" t="s" s="54">
        <v>147</v>
      </c>
      <c r="B139" s="12"/>
      <c r="C139" s="113"/>
      <c r="D139" s="11"/>
      <c r="E139" s="11"/>
      <c r="F139" s="11"/>
      <c r="G139" s="11"/>
      <c r="H139" s="11"/>
      <c r="I139" s="11"/>
      <c r="J139" s="11"/>
      <c r="K139" s="11"/>
      <c r="L139" s="11"/>
      <c r="M139" s="11"/>
      <c r="N139" s="11"/>
    </row>
    <row r="140" ht="15" customHeight="1">
      <c r="A140" t="s" s="148">
        <v>188</v>
      </c>
      <c r="B140" s="12"/>
      <c r="C140" s="113"/>
      <c r="D140" s="11"/>
      <c r="E140" s="11"/>
      <c r="F140" s="11"/>
      <c r="G140" s="11"/>
      <c r="H140" s="11"/>
      <c r="I140" s="11"/>
      <c r="J140" s="11"/>
      <c r="K140" s="11"/>
      <c r="L140" s="11"/>
      <c r="M140" s="103">
        <v>24</v>
      </c>
      <c r="N140" s="11"/>
    </row>
    <row r="141" ht="15" customHeight="1">
      <c r="A141" t="s" s="148">
        <v>189</v>
      </c>
      <c r="B141" s="12"/>
      <c r="C141" s="11"/>
      <c r="D141" s="11"/>
      <c r="E141" s="11"/>
      <c r="F141" s="11"/>
      <c r="G141" s="11"/>
      <c r="H141" s="11"/>
      <c r="I141" s="11"/>
      <c r="J141" s="11"/>
      <c r="K141" s="11"/>
      <c r="L141" s="11"/>
      <c r="M141" s="103">
        <v>213</v>
      </c>
      <c r="N141" s="11"/>
    </row>
    <row r="142" ht="15" customHeight="1">
      <c r="A142" s="11"/>
      <c r="B142" s="11"/>
      <c r="C142" s="11"/>
      <c r="D142" s="11"/>
      <c r="E142" s="11"/>
      <c r="F142" s="11"/>
      <c r="G142" s="11"/>
      <c r="H142" s="11"/>
      <c r="I142" s="11"/>
      <c r="J142" s="11"/>
      <c r="K142" s="11"/>
      <c r="L142" s="11"/>
      <c r="M142" s="11"/>
      <c r="N142" s="11"/>
    </row>
    <row r="143" ht="15" customHeight="1">
      <c r="A143" t="s" s="149">
        <v>191</v>
      </c>
      <c r="B143" s="16"/>
      <c r="C143" s="16"/>
      <c r="D143" s="11"/>
      <c r="E143" s="11"/>
      <c r="F143" s="11"/>
      <c r="G143" s="11"/>
      <c r="H143" s="11"/>
      <c r="I143" s="11"/>
      <c r="J143" s="11"/>
      <c r="K143" s="11"/>
      <c r="L143" s="11"/>
      <c r="M143" s="103" cm="1">
        <f t="array" ref="M143">M122+M125+M128+M131+M134+M137+M140</f>
        <v>57</v>
      </c>
      <c r="N143" s="11"/>
    </row>
    <row r="144" ht="15" customHeight="1">
      <c r="A144" t="s" s="148">
        <v>188</v>
      </c>
      <c r="B144" s="12"/>
      <c r="C144" s="113"/>
      <c r="D144" s="11"/>
      <c r="E144" s="11"/>
      <c r="F144" s="11"/>
      <c r="G144" s="11"/>
      <c r="H144" s="11"/>
      <c r="I144" s="11"/>
      <c r="J144" s="11"/>
      <c r="K144" s="11"/>
      <c r="L144" s="11"/>
      <c r="M144" s="103" cm="1">
        <f t="array" ref="M144">M123+M126+M129+M132+M135+M138+M141</f>
        <v>630</v>
      </c>
      <c r="N144" s="11"/>
    </row>
    <row r="145" ht="15" customHeight="1">
      <c r="A145" t="s" s="148">
        <v>189</v>
      </c>
      <c r="B145" s="12"/>
      <c r="C145" s="113"/>
      <c r="D145" s="11"/>
      <c r="E145" s="11"/>
      <c r="F145" s="11"/>
      <c r="G145" s="11"/>
      <c r="H145" s="11"/>
      <c r="I145" s="11"/>
      <c r="J145" s="11"/>
      <c r="K145" s="11"/>
      <c r="L145" s="11"/>
      <c r="M145" s="11"/>
      <c r="N145" s="11"/>
    </row>
    <row r="146" ht="15" customHeight="1">
      <c r="A146" s="12"/>
      <c r="B146" s="12"/>
      <c r="C146" s="113"/>
      <c r="D146" s="11"/>
      <c r="E146" s="11"/>
      <c r="F146" s="11"/>
      <c r="G146" s="11"/>
      <c r="H146" s="11"/>
      <c r="I146" s="11"/>
      <c r="J146" s="11"/>
      <c r="K146" s="11"/>
      <c r="L146" s="11"/>
      <c r="M146" s="11"/>
      <c r="N146" s="11"/>
    </row>
    <row r="147" ht="15" customHeight="1">
      <c r="A147" s="12"/>
      <c r="B147" s="12"/>
      <c r="C147" s="113"/>
      <c r="D147" s="11"/>
      <c r="E147" s="11"/>
      <c r="F147" s="11"/>
      <c r="G147" s="11"/>
      <c r="H147" s="11"/>
      <c r="I147" s="11"/>
      <c r="J147" s="11"/>
      <c r="K147" s="11"/>
      <c r="L147" s="11"/>
      <c r="M147" s="11"/>
      <c r="N147" s="11"/>
    </row>
    <row r="148" ht="15" customHeight="1">
      <c r="A148" s="12"/>
      <c r="B148" s="12"/>
      <c r="C148" s="113"/>
      <c r="D148" s="11"/>
      <c r="E148" s="11"/>
      <c r="F148" s="11"/>
      <c r="G148" s="11"/>
      <c r="H148" s="11"/>
      <c r="I148" s="11"/>
      <c r="J148" s="11"/>
      <c r="K148" s="11"/>
      <c r="L148" s="11"/>
      <c r="M148" s="11"/>
      <c r="N148" s="11"/>
    </row>
    <row r="149" ht="15" customHeight="1">
      <c r="A149" s="12"/>
      <c r="B149" s="12"/>
      <c r="C149" s="113"/>
      <c r="D149" s="11"/>
      <c r="E149" s="11"/>
      <c r="F149" s="11"/>
      <c r="G149" s="11"/>
      <c r="H149" s="11"/>
      <c r="I149" s="11"/>
      <c r="J149" s="11"/>
      <c r="K149" s="11"/>
      <c r="L149" s="11"/>
      <c r="M149" s="11"/>
      <c r="N149" s="11"/>
    </row>
    <row r="150" ht="15" customHeight="1">
      <c r="A150" s="12"/>
      <c r="B150" s="12"/>
      <c r="C150" s="12"/>
      <c r="D150" s="11"/>
      <c r="E150" s="11"/>
      <c r="F150" s="11"/>
      <c r="G150" s="11"/>
      <c r="H150" s="11"/>
      <c r="I150" s="11"/>
      <c r="J150" s="11"/>
      <c r="K150" s="11"/>
      <c r="L150" s="11"/>
      <c r="M150" s="11"/>
      <c r="N150" s="11"/>
    </row>
    <row r="151" ht="15" customHeight="1">
      <c r="A151" s="12"/>
      <c r="B151" s="11"/>
      <c r="C151" s="11"/>
      <c r="D151" s="11"/>
      <c r="E151" s="11"/>
      <c r="F151" s="11"/>
      <c r="G151" s="11"/>
      <c r="H151" s="11"/>
      <c r="I151" s="11"/>
      <c r="J151" s="11"/>
      <c r="K151" s="11"/>
      <c r="L151" s="11"/>
      <c r="M151" s="11"/>
      <c r="N151" s="11"/>
    </row>
    <row r="152" ht="15" customHeight="1">
      <c r="A152" s="11"/>
      <c r="B152" s="11"/>
      <c r="C152" s="11"/>
      <c r="D152" s="11"/>
      <c r="E152" s="11"/>
      <c r="F152" s="11"/>
      <c r="G152" s="11"/>
      <c r="H152" s="11"/>
      <c r="I152" s="11"/>
      <c r="J152" s="11"/>
      <c r="K152" s="11"/>
      <c r="L152" s="11"/>
      <c r="M152" s="11"/>
      <c r="N152" s="11"/>
    </row>
    <row r="153" ht="15" customHeight="1">
      <c r="A153" s="16"/>
      <c r="B153" s="16"/>
      <c r="C153" s="16"/>
      <c r="D153" s="11"/>
      <c r="E153" s="11"/>
      <c r="F153" s="11"/>
      <c r="G153" s="11"/>
      <c r="H153" s="11"/>
      <c r="I153" s="11"/>
      <c r="J153" s="11"/>
      <c r="K153" s="11"/>
      <c r="L153" s="11"/>
      <c r="M153" s="11"/>
      <c r="N153" s="11"/>
    </row>
    <row r="154" ht="15" customHeight="1">
      <c r="A154" s="12"/>
      <c r="B154" s="12"/>
      <c r="C154" s="113"/>
      <c r="D154" s="11"/>
      <c r="E154" s="11"/>
      <c r="F154" s="11"/>
      <c r="G154" s="11"/>
      <c r="H154" s="11"/>
      <c r="I154" s="11"/>
      <c r="J154" s="11"/>
      <c r="K154" s="11"/>
      <c r="L154" s="11"/>
      <c r="M154" s="11"/>
      <c r="N154" s="11"/>
    </row>
    <row r="155" ht="15" customHeight="1">
      <c r="A155" s="12"/>
      <c r="B155" s="12"/>
      <c r="C155" s="113"/>
      <c r="D155" s="11"/>
      <c r="E155" s="11"/>
      <c r="F155" s="11"/>
      <c r="G155" s="11"/>
      <c r="H155" s="11"/>
      <c r="I155" s="11"/>
      <c r="J155" s="11"/>
      <c r="K155" s="11"/>
      <c r="L155" s="11"/>
      <c r="M155" s="11"/>
      <c r="N155" s="11"/>
    </row>
    <row r="156" ht="15" customHeight="1">
      <c r="A156" s="12"/>
      <c r="B156" s="12"/>
      <c r="C156" s="113"/>
      <c r="D156" s="11"/>
      <c r="E156" s="11"/>
      <c r="F156" s="11"/>
      <c r="G156" s="11"/>
      <c r="H156" s="11"/>
      <c r="I156" s="11"/>
      <c r="J156" s="11"/>
      <c r="K156" s="11"/>
      <c r="L156" s="11"/>
      <c r="M156" s="11"/>
      <c r="N156" s="11"/>
    </row>
    <row r="157" ht="15" customHeight="1">
      <c r="A157" s="12"/>
      <c r="B157" s="12"/>
      <c r="C157" s="113"/>
      <c r="D157" s="11"/>
      <c r="E157" s="11"/>
      <c r="F157" s="11"/>
      <c r="G157" s="11"/>
      <c r="H157" s="11"/>
      <c r="I157" s="11"/>
      <c r="J157" s="11"/>
      <c r="K157" s="11"/>
      <c r="L157" s="11"/>
      <c r="M157" s="11"/>
      <c r="N157" s="11"/>
    </row>
    <row r="158" ht="15" customHeight="1">
      <c r="A158" s="12"/>
      <c r="B158" s="12"/>
      <c r="C158" s="113"/>
      <c r="D158" s="11"/>
      <c r="E158" s="11"/>
      <c r="F158" s="11"/>
      <c r="G158" s="11"/>
      <c r="H158" s="11"/>
      <c r="I158" s="11"/>
      <c r="J158" s="11"/>
      <c r="K158" s="11"/>
      <c r="L158" s="11"/>
      <c r="M158" s="11"/>
      <c r="N158" s="11"/>
    </row>
    <row r="159" ht="15" customHeight="1">
      <c r="A159" s="12"/>
      <c r="B159" s="12"/>
      <c r="C159" s="113"/>
      <c r="D159" s="11"/>
      <c r="E159" s="11"/>
      <c r="F159" s="11"/>
      <c r="G159" s="11"/>
      <c r="H159" s="11"/>
      <c r="I159" s="11"/>
      <c r="J159" s="11"/>
      <c r="K159" s="11"/>
      <c r="L159" s="11"/>
      <c r="M159" s="11"/>
      <c r="N159" s="11"/>
    </row>
    <row r="160" ht="15" customHeight="1">
      <c r="A160" s="12"/>
      <c r="B160" s="12"/>
      <c r="C160" s="113"/>
      <c r="D160" s="11"/>
      <c r="E160" s="11"/>
      <c r="F160" s="11"/>
      <c r="G160" s="11"/>
      <c r="H160" s="11"/>
      <c r="I160" s="11"/>
      <c r="J160" s="11"/>
      <c r="K160" s="11"/>
      <c r="L160" s="11"/>
      <c r="M160" s="11"/>
      <c r="N160" s="11"/>
    </row>
    <row r="161" ht="15" customHeight="1">
      <c r="A161" s="12"/>
      <c r="B161" s="12"/>
      <c r="C161" s="113"/>
      <c r="D161" s="11"/>
      <c r="E161" s="11"/>
      <c r="F161" s="11"/>
      <c r="G161" s="11"/>
      <c r="H161" s="11"/>
      <c r="I161" s="11"/>
      <c r="J161" s="11"/>
      <c r="K161" s="11"/>
      <c r="L161" s="11"/>
      <c r="M161" s="11"/>
      <c r="N161" s="11"/>
    </row>
    <row r="162" ht="15" customHeight="1">
      <c r="A162" s="12"/>
      <c r="B162" s="12"/>
      <c r="C162" s="12"/>
      <c r="D162" s="11"/>
      <c r="E162" s="11"/>
      <c r="F162" s="11"/>
      <c r="G162" s="11"/>
      <c r="H162" s="11"/>
      <c r="I162" s="11"/>
      <c r="J162" s="11"/>
      <c r="K162" s="11"/>
      <c r="L162" s="11"/>
      <c r="M162" s="11"/>
      <c r="N162" s="11"/>
    </row>
    <row r="163" ht="15" customHeight="1">
      <c r="A163" s="11"/>
      <c r="B163" s="11"/>
      <c r="C163" s="11"/>
      <c r="D163" s="11"/>
      <c r="E163" s="11"/>
      <c r="F163" s="11"/>
      <c r="G163" s="11"/>
      <c r="H163" s="11"/>
      <c r="I163" s="11"/>
      <c r="J163" s="11"/>
      <c r="K163" s="11"/>
      <c r="L163" s="11"/>
      <c r="M163" s="11"/>
      <c r="N163" s="11"/>
    </row>
    <row r="164" ht="15" customHeight="1">
      <c r="A164" s="11"/>
      <c r="B164" s="11"/>
      <c r="C164" s="11"/>
      <c r="D164" s="11"/>
      <c r="E164" s="11"/>
      <c r="F164" s="11"/>
      <c r="G164" s="11"/>
      <c r="H164" s="11"/>
      <c r="I164" s="11"/>
      <c r="J164" s="11"/>
      <c r="K164" s="11"/>
      <c r="L164" s="11"/>
      <c r="M164" s="11"/>
      <c r="N164" s="11"/>
    </row>
    <row r="165" ht="15" customHeight="1">
      <c r="A165" s="11"/>
      <c r="B165" s="11"/>
      <c r="C165" s="11"/>
      <c r="D165" s="11"/>
      <c r="E165" s="11"/>
      <c r="F165" s="11"/>
      <c r="G165" s="11"/>
      <c r="H165" s="11"/>
      <c r="I165" s="11"/>
      <c r="J165" s="11"/>
      <c r="K165" s="11"/>
      <c r="L165" s="11"/>
      <c r="M165" s="11"/>
      <c r="N165" s="11"/>
    </row>
    <row r="166" ht="15" customHeight="1">
      <c r="A166" s="11"/>
      <c r="B166" s="11"/>
      <c r="C166" s="11"/>
      <c r="D166" s="11"/>
      <c r="E166" s="11"/>
      <c r="F166" s="11"/>
      <c r="G166" s="11"/>
      <c r="H166" s="11"/>
      <c r="I166" s="11"/>
      <c r="J166" s="11"/>
      <c r="K166" s="11"/>
      <c r="L166" s="11"/>
      <c r="M166" s="11"/>
      <c r="N166" s="11"/>
    </row>
    <row r="167" ht="15" customHeight="1">
      <c r="A167" s="11"/>
      <c r="B167" s="11"/>
      <c r="C167" s="11"/>
      <c r="D167" s="11"/>
      <c r="E167" s="11"/>
      <c r="F167" s="11"/>
      <c r="G167" s="11"/>
      <c r="H167" s="11"/>
      <c r="I167" s="11"/>
      <c r="J167" s="11"/>
      <c r="K167" s="11"/>
      <c r="L167" s="11"/>
      <c r="M167" s="11"/>
      <c r="N167" s="11"/>
    </row>
    <row r="168" ht="15" customHeight="1">
      <c r="A168" s="11"/>
      <c r="B168" s="11"/>
      <c r="C168" s="11"/>
      <c r="D168" s="11"/>
      <c r="E168" s="11"/>
      <c r="F168" s="11"/>
      <c r="G168" s="11"/>
      <c r="H168" s="11"/>
      <c r="I168" s="11"/>
      <c r="J168" s="11"/>
      <c r="K168" s="11"/>
      <c r="L168" s="11"/>
      <c r="M168" s="11"/>
      <c r="N168" s="11"/>
    </row>
    <row r="169" ht="15" customHeight="1">
      <c r="A169" s="11"/>
      <c r="B169" s="11"/>
      <c r="C169" s="11"/>
      <c r="D169" s="11"/>
      <c r="E169" s="11"/>
      <c r="F169" s="11"/>
      <c r="G169" s="11"/>
      <c r="H169" s="11"/>
      <c r="I169" s="11"/>
      <c r="J169" s="11"/>
      <c r="K169" s="11"/>
      <c r="L169" s="11"/>
      <c r="M169" s="11"/>
      <c r="N169" s="11"/>
    </row>
    <row r="170" ht="15" customHeight="1">
      <c r="A170" s="11"/>
      <c r="B170" s="11"/>
      <c r="C170" s="11"/>
      <c r="D170" s="11"/>
      <c r="E170" s="11"/>
      <c r="F170" s="11"/>
      <c r="G170" s="11"/>
      <c r="H170" s="11"/>
      <c r="I170" s="11"/>
      <c r="J170" s="11"/>
      <c r="K170" s="11"/>
      <c r="L170" s="11"/>
      <c r="M170" s="11"/>
      <c r="N170" s="11"/>
    </row>
    <row r="171" ht="15" customHeight="1">
      <c r="A171" s="11"/>
      <c r="B171" s="11"/>
      <c r="C171" s="11"/>
      <c r="D171" s="11"/>
      <c r="E171" s="11"/>
      <c r="F171" s="11"/>
      <c r="G171" s="11"/>
      <c r="H171" s="11"/>
      <c r="I171" s="11"/>
      <c r="J171" s="11"/>
      <c r="K171" s="11"/>
      <c r="L171" s="11"/>
      <c r="M171" s="11"/>
      <c r="N171" s="11"/>
    </row>
  </sheetData>
  <mergeCells count="4">
    <mergeCell ref="A1:M1"/>
    <mergeCell ref="A2:M2"/>
    <mergeCell ref="A37:M37"/>
    <mergeCell ref="A38:M38"/>
  </mergeCells>
  <pageMargins left="0.75" right="0.75" top="1" bottom="1" header="0.5" footer="0.5"/>
  <pageSetup firstPageNumber="1" fitToHeight="1" fitToWidth="1" scale="100" useFirstPageNumber="0" orientation="portrait" pageOrder="downThenOver"/>
  <headerFooter>
    <oddFooter>&amp;C&amp;"Helvetica,Regular"&amp;12&amp;K000000&amp;P</oddFooter>
  </headerFooter>
</worksheet>
</file>

<file path=xl/worksheets/sheet10.xml><?xml version="1.0" encoding="utf-8"?>
<worksheet xmlns:r="http://schemas.openxmlformats.org/officeDocument/2006/relationships" xmlns="http://schemas.openxmlformats.org/spreadsheetml/2006/main">
  <dimension ref="A1:O160"/>
  <sheetViews>
    <sheetView workbookViewId="0" showGridLines="0" defaultGridColor="1"/>
  </sheetViews>
  <sheetFormatPr defaultColWidth="12.5" defaultRowHeight="15" customHeight="1" outlineLevelRow="0" outlineLevelCol="0"/>
  <cols>
    <col min="1" max="1" width="28.6875" style="150" customWidth="1"/>
    <col min="2" max="2" width="15.1719" style="150" customWidth="1"/>
    <col min="3" max="3" width="14.6719" style="150" customWidth="1"/>
    <col min="4" max="4" width="17.3516" style="150" customWidth="1"/>
    <col min="5" max="5" width="15" style="150" customWidth="1"/>
    <col min="6" max="6" width="17.1094" style="150" customWidth="1"/>
    <col min="7" max="7" width="16.7109" style="150" customWidth="1"/>
    <col min="8" max="12" width="16.5" style="150" customWidth="1"/>
    <col min="13" max="13" width="19" style="150" customWidth="1"/>
    <col min="14" max="15" width="15.9375" style="150" customWidth="1"/>
    <col min="16" max="16384" width="12.5" style="150" customWidth="1"/>
  </cols>
  <sheetData>
    <row r="1" ht="23" customHeight="1">
      <c r="A1" t="s" s="7">
        <v>6</v>
      </c>
      <c r="B1" s="8"/>
      <c r="C1" s="8"/>
      <c r="D1" s="9"/>
      <c r="E1" s="9"/>
      <c r="F1" s="9"/>
      <c r="G1" s="9"/>
      <c r="H1" s="9"/>
      <c r="I1" s="9"/>
      <c r="J1" s="9"/>
      <c r="K1" s="9"/>
      <c r="L1" s="9"/>
      <c r="M1" s="9"/>
      <c r="N1" s="10"/>
      <c r="O1" s="10"/>
    </row>
    <row r="2" ht="23" customHeight="1">
      <c r="A2" t="s" s="7">
        <v>193</v>
      </c>
      <c r="B2" s="8"/>
      <c r="C2" s="8"/>
      <c r="D2" s="12"/>
      <c r="E2" s="12"/>
      <c r="F2" s="12"/>
      <c r="G2" s="12"/>
      <c r="H2" s="12"/>
      <c r="I2" s="12"/>
      <c r="J2" s="12"/>
      <c r="K2" s="12"/>
      <c r="L2" s="12"/>
      <c r="M2" s="12"/>
      <c r="N2" s="10"/>
      <c r="O2" s="10"/>
    </row>
    <row r="3" ht="15" customHeight="1">
      <c r="A3" s="13"/>
      <c r="B3" s="13"/>
      <c r="C3" s="13"/>
      <c r="D3" s="13"/>
      <c r="E3" s="13"/>
      <c r="F3" s="13"/>
      <c r="G3" s="13"/>
      <c r="H3" s="13"/>
      <c r="I3" s="13"/>
      <c r="J3" s="13"/>
      <c r="K3" s="13"/>
      <c r="L3" s="13"/>
      <c r="M3" s="13"/>
      <c r="N3" s="72"/>
      <c r="O3" s="72"/>
    </row>
    <row r="4" ht="15" customHeight="1">
      <c r="A4" t="s" s="14">
        <v>8</v>
      </c>
      <c r="B4" t="s" s="14">
        <v>9</v>
      </c>
      <c r="C4" t="s" s="14">
        <v>10</v>
      </c>
      <c r="D4" t="s" s="14">
        <v>11</v>
      </c>
      <c r="E4" t="s" s="14">
        <v>12</v>
      </c>
      <c r="F4" t="s" s="14">
        <v>13</v>
      </c>
      <c r="G4" t="s" s="14">
        <v>14</v>
      </c>
      <c r="H4" t="s" s="14">
        <v>15</v>
      </c>
      <c r="I4" t="s" s="14">
        <v>16</v>
      </c>
      <c r="J4" t="s" s="14">
        <v>17</v>
      </c>
      <c r="K4" t="s" s="14">
        <v>18</v>
      </c>
      <c r="L4" t="s" s="14">
        <v>19</v>
      </c>
      <c r="M4" t="s" s="14">
        <v>20</v>
      </c>
      <c r="N4" t="s" s="73">
        <v>21</v>
      </c>
      <c r="O4" s="91"/>
    </row>
    <row r="5" ht="15" customHeight="1">
      <c r="A5" s="17">
        <v>1</v>
      </c>
      <c r="B5" s="129">
        <v>5547112</v>
      </c>
      <c r="C5" s="129">
        <v>215059094</v>
      </c>
      <c r="D5" s="138">
        <v>101110140</v>
      </c>
      <c r="E5" s="129">
        <v>83898561</v>
      </c>
      <c r="F5" s="129">
        <v>79604912</v>
      </c>
      <c r="G5" s="129">
        <v>94442775</v>
      </c>
      <c r="H5" s="130">
        <v>79224367</v>
      </c>
      <c r="I5" s="129">
        <v>85861234</v>
      </c>
      <c r="J5" s="129">
        <v>86924198</v>
      </c>
      <c r="K5" s="129">
        <v>69373433</v>
      </c>
      <c r="L5" s="129">
        <v>108079616</v>
      </c>
      <c r="M5" s="129">
        <v>105217270</v>
      </c>
      <c r="N5" s="93"/>
      <c r="O5" s="75"/>
    </row>
    <row r="6" ht="15" customHeight="1">
      <c r="A6" s="17">
        <v>2</v>
      </c>
      <c r="B6" s="129">
        <v>64686306</v>
      </c>
      <c r="C6" s="129">
        <v>48478372</v>
      </c>
      <c r="D6" s="138">
        <v>56421550</v>
      </c>
      <c r="E6" s="129">
        <v>62323609</v>
      </c>
      <c r="F6" s="129">
        <v>53767892</v>
      </c>
      <c r="G6" s="129">
        <v>51777448</v>
      </c>
      <c r="H6" s="130">
        <v>82595449</v>
      </c>
      <c r="I6" s="129">
        <v>33987450</v>
      </c>
      <c r="J6" s="129">
        <v>72131257</v>
      </c>
      <c r="K6" s="129">
        <v>97511069</v>
      </c>
      <c r="L6" s="129">
        <v>42623932</v>
      </c>
      <c r="M6" s="129">
        <v>80980782</v>
      </c>
      <c r="N6" s="94"/>
      <c r="O6" s="19"/>
    </row>
    <row r="7" ht="15" customHeight="1">
      <c r="A7" s="17">
        <v>3</v>
      </c>
      <c r="B7" s="129">
        <v>63266730</v>
      </c>
      <c r="C7" s="129">
        <v>54716217</v>
      </c>
      <c r="D7" s="129">
        <v>53831307</v>
      </c>
      <c r="E7" s="129">
        <v>62236567</v>
      </c>
      <c r="F7" s="129">
        <v>50919880</v>
      </c>
      <c r="G7" s="129">
        <v>37726239</v>
      </c>
      <c r="H7" s="130">
        <v>55095030</v>
      </c>
      <c r="I7" s="129">
        <v>59807832</v>
      </c>
      <c r="J7" s="129">
        <v>38003400</v>
      </c>
      <c r="K7" s="129">
        <v>59492187</v>
      </c>
      <c r="L7" s="129">
        <v>49180254</v>
      </c>
      <c r="M7" s="129">
        <v>76111333</v>
      </c>
      <c r="N7" s="94"/>
      <c r="O7" s="19"/>
    </row>
    <row r="8" ht="15" customHeight="1">
      <c r="A8" s="17">
        <v>4</v>
      </c>
      <c r="B8" s="129">
        <v>30494304</v>
      </c>
      <c r="C8" s="129">
        <v>52926715</v>
      </c>
      <c r="D8" s="129">
        <v>30956135</v>
      </c>
      <c r="E8" s="129">
        <v>60094345</v>
      </c>
      <c r="F8" s="129">
        <v>43826920</v>
      </c>
      <c r="G8" s="129">
        <v>64013121</v>
      </c>
      <c r="H8" s="130">
        <v>42429600</v>
      </c>
      <c r="I8" s="129">
        <v>57562849</v>
      </c>
      <c r="J8" s="129">
        <v>35500509</v>
      </c>
      <c r="K8" s="129">
        <v>32265971</v>
      </c>
      <c r="L8" s="129">
        <v>57466927</v>
      </c>
      <c r="M8" s="129">
        <v>64362004</v>
      </c>
      <c r="N8" s="94"/>
      <c r="O8" s="19"/>
    </row>
    <row r="9" ht="15" customHeight="1">
      <c r="A9" s="17">
        <v>5</v>
      </c>
      <c r="B9" s="129">
        <v>44594200</v>
      </c>
      <c r="C9" s="129"/>
      <c r="D9" s="129"/>
      <c r="E9" s="129">
        <v>85026819</v>
      </c>
      <c r="F9" s="129"/>
      <c r="G9" s="129"/>
      <c r="H9" s="129">
        <v>54591183</v>
      </c>
      <c r="I9" s="151"/>
      <c r="J9" s="129"/>
      <c r="K9" s="129">
        <v>48532470</v>
      </c>
      <c r="L9" s="129"/>
      <c r="M9" s="129">
        <v>67108650</v>
      </c>
      <c r="N9" s="94"/>
      <c r="O9" s="19"/>
    </row>
    <row r="10" ht="15" customHeight="1">
      <c r="A10" t="s" s="20">
        <v>194</v>
      </c>
      <c r="B10" s="129">
        <v>92609150</v>
      </c>
      <c r="C10" s="129">
        <v>81040584</v>
      </c>
      <c r="D10" s="129">
        <v>96452398</v>
      </c>
      <c r="E10" s="129">
        <v>91736311</v>
      </c>
      <c r="F10" s="129">
        <v>91478803</v>
      </c>
      <c r="G10" s="129">
        <v>138756658</v>
      </c>
      <c r="H10" s="130">
        <v>123916598</v>
      </c>
      <c r="I10" s="129">
        <v>101344579</v>
      </c>
      <c r="J10" s="129">
        <v>91549894</v>
      </c>
      <c r="K10" s="129" cm="1">
        <f t="array" ref="K10">K18*100%/15%</f>
        <v>117041386.666667</v>
      </c>
      <c r="L10" s="129" cm="1">
        <f t="array" ref="L10">L18*100%/15%</f>
        <v>97755460</v>
      </c>
      <c r="M10" s="129">
        <v>172469764</v>
      </c>
      <c r="N10" s="94"/>
      <c r="O10" s="19"/>
    </row>
    <row r="11" ht="15" customHeight="1">
      <c r="A11" t="s" s="20">
        <v>22</v>
      </c>
      <c r="B11" s="18" cm="1">
        <f t="array" ref="B11">SUM(B5:B10)</f>
        <v>301197802</v>
      </c>
      <c r="C11" s="18" cm="1">
        <f t="array" ref="C11">SUM(C5:C10)</f>
        <v>452220982</v>
      </c>
      <c r="D11" s="18" cm="1">
        <f t="array" ref="D11">SUM(D5:D10)</f>
        <v>338771530</v>
      </c>
      <c r="E11" s="18" cm="1">
        <f t="array" ref="E11">SUM(E5:E10)</f>
        <v>445316212</v>
      </c>
      <c r="F11" s="18" cm="1">
        <f t="array" ref="F11">SUM(F5:F10)</f>
        <v>319598407</v>
      </c>
      <c r="G11" s="18" cm="1">
        <f t="array" ref="G11">SUM(G5:G10)</f>
        <v>386716241</v>
      </c>
      <c r="H11" s="18" cm="1">
        <f t="array" ref="H11">SUM(H5:H10)</f>
        <v>437852227</v>
      </c>
      <c r="I11" s="18" cm="1">
        <f t="array" ref="I11">SUM(I5:I10)</f>
        <v>338563944</v>
      </c>
      <c r="J11" s="18" cm="1">
        <f t="array" ref="J11">SUM(J5:J10)</f>
        <v>324109258</v>
      </c>
      <c r="K11" s="18" cm="1">
        <f t="array" ref="K11">SUM(K5:K10)</f>
        <v>424216516.666667</v>
      </c>
      <c r="L11" s="18" cm="1">
        <f t="array" ref="L11">SUM(L5:L10)</f>
        <v>355106189</v>
      </c>
      <c r="M11" s="18" cm="1">
        <f t="array" ref="M11">SUM(M5:M10)</f>
        <v>566249803</v>
      </c>
      <c r="N11" s="152"/>
      <c r="O11" s="19"/>
    </row>
    <row r="12" ht="15" customHeight="1">
      <c r="A12" t="s" s="20">
        <v>23</v>
      </c>
      <c r="B12" s="18" cm="1">
        <f t="array" ref="B12">AVERAGE(B5:B10)</f>
        <v>50199633.6666667</v>
      </c>
      <c r="C12" s="18" cm="1">
        <f t="array" ref="C12">AVERAGE(C5:C10)</f>
        <v>90444196.40000001</v>
      </c>
      <c r="D12" s="18" cm="1">
        <f t="array" ref="D12">AVERAGE(D5:D10)</f>
        <v>67754306</v>
      </c>
      <c r="E12" s="18" cm="1">
        <f t="array" ref="E12">AVERAGE(E5:E10)</f>
        <v>74219368.6666667</v>
      </c>
      <c r="F12" s="18" cm="1">
        <f t="array" ref="F12">AVERAGE(F5:F10)</f>
        <v>63919681.4</v>
      </c>
      <c r="G12" s="18" cm="1">
        <f t="array" ref="G12">AVERAGE(G5:G10)</f>
        <v>77343248.2</v>
      </c>
      <c r="H12" s="18" cm="1">
        <f t="array" ref="H12">AVERAGE(H5:H10)</f>
        <v>72975371.1666667</v>
      </c>
      <c r="I12" s="18" cm="1">
        <f t="array" ref="I12">AVERAGE(I5:I10)</f>
        <v>67712788.8</v>
      </c>
      <c r="J12" s="18" cm="1">
        <f t="array" ref="J12">AVERAGE(J5:J10)</f>
        <v>64821851.6</v>
      </c>
      <c r="K12" s="18" cm="1">
        <f t="array" ref="K12">AVERAGE(K5:K10)</f>
        <v>70702752.77777781</v>
      </c>
      <c r="L12" s="18" cm="1">
        <f t="array" ref="L12">AVERAGE(L5:L10)</f>
        <v>71021237.8</v>
      </c>
      <c r="M12" s="18" cm="1">
        <f t="array" ref="M12">AVERAGE(M5:M10)</f>
        <v>94374967.1666667</v>
      </c>
      <c r="N12" s="96"/>
      <c r="O12" s="21"/>
    </row>
    <row r="13" ht="15" customHeight="1">
      <c r="A13" t="s" s="22">
        <v>24</v>
      </c>
      <c r="B13" s="23"/>
      <c r="C13" s="24" cm="1">
        <f t="array" ref="C13">C11/B11-1</f>
        <v>0.5014086390975721</v>
      </c>
      <c r="D13" s="24" cm="1">
        <f t="array" ref="D13">D11/C11-1</f>
        <v>-0.250871712095835</v>
      </c>
      <c r="E13" s="24" cm="1">
        <f t="array" ref="E13">E11/D11-1</f>
        <v>0.314503057562127</v>
      </c>
      <c r="F13" s="24" cm="1">
        <f t="array" ref="F13">F11/E11-1</f>
        <v>-0.282311314100552</v>
      </c>
      <c r="G13" s="24" cm="1">
        <f t="array" ref="G13">G11/F11-1</f>
        <v>0.210006785171492</v>
      </c>
      <c r="H13" s="24" cm="1">
        <f t="array" ref="H13">H11/G11-1</f>
        <v>0.132231286350345</v>
      </c>
      <c r="I13" s="24" cm="1">
        <f t="array" ref="I13">I11/H11-1</f>
        <v>-0.226762082907026</v>
      </c>
      <c r="J13" s="24" cm="1">
        <f t="array" ref="J13">J11/I11-1</f>
        <v>-0.0426941092108733</v>
      </c>
      <c r="K13" s="24" cm="1">
        <f t="array" ref="K13">K11/J11-1</f>
        <v>0.308868865037687</v>
      </c>
      <c r="L13" s="24" cm="1">
        <f t="array" ref="L13">L11/K11-1</f>
        <v>-0.162912863953789</v>
      </c>
      <c r="M13" s="24" cm="1">
        <f t="array" ref="M13">M11/L11-1</f>
        <v>0.5945928866928309</v>
      </c>
      <c r="N13" s="10"/>
      <c r="O13" s="10"/>
    </row>
    <row r="14" ht="15" customHeight="1">
      <c r="A14" t="s" s="25">
        <v>195</v>
      </c>
      <c r="B14" s="26" cm="1">
        <f t="array" ref="B14">B11</f>
        <v>301197802</v>
      </c>
      <c r="C14" s="26" cm="1">
        <f t="array" ref="C14">C11+B14</f>
        <v>753418784</v>
      </c>
      <c r="D14" s="26" cm="1">
        <f t="array" ref="D14">D11+C14</f>
        <v>1092190314</v>
      </c>
      <c r="E14" s="26" cm="1">
        <f t="array" ref="E14">E11+D14</f>
        <v>1537506526</v>
      </c>
      <c r="F14" s="26" cm="1">
        <f t="array" ref="F14">F11+E14</f>
        <v>1857104933</v>
      </c>
      <c r="G14" s="26" cm="1">
        <f t="array" ref="G14">G11+F14</f>
        <v>2243821174</v>
      </c>
      <c r="H14" s="26" cm="1">
        <f t="array" ref="H14">H11+G14</f>
        <v>2681673401</v>
      </c>
      <c r="I14" s="26" cm="1">
        <f t="array" ref="I14">I11+H14</f>
        <v>3020237345</v>
      </c>
      <c r="J14" s="26" cm="1">
        <f t="array" ref="J14">J11+I14</f>
        <v>3344346603</v>
      </c>
      <c r="K14" s="26" cm="1">
        <f t="array" ref="K14">K11+J14</f>
        <v>3768563119.66667</v>
      </c>
      <c r="L14" s="26" cm="1">
        <f t="array" ref="L14">L11+K14</f>
        <v>4123669308.66667</v>
      </c>
      <c r="M14" s="26" cm="1">
        <f t="array" ref="M14">M11+L14</f>
        <v>4689919111.66667</v>
      </c>
      <c r="N14" s="63"/>
      <c r="O14" s="63"/>
    </row>
    <row r="15" ht="15" customHeight="1">
      <c r="A15" t="s" s="25">
        <v>185</v>
      </c>
      <c r="B15" s="26">
        <v>452601511</v>
      </c>
      <c r="C15" s="26">
        <v>747478794</v>
      </c>
      <c r="D15" s="26">
        <v>1100866337</v>
      </c>
      <c r="E15" s="26">
        <v>1451990681</v>
      </c>
      <c r="F15" s="26">
        <v>1839526829</v>
      </c>
      <c r="G15" s="26">
        <v>2130729646</v>
      </c>
      <c r="H15" s="26">
        <v>2535756132</v>
      </c>
      <c r="I15" s="26">
        <v>2845753037</v>
      </c>
      <c r="J15" s="26">
        <v>3191864973</v>
      </c>
      <c r="K15" s="26">
        <v>3560565863</v>
      </c>
      <c r="L15" s="26">
        <v>3876540910</v>
      </c>
      <c r="M15" s="26">
        <v>4286852884</v>
      </c>
      <c r="N15" s="57"/>
      <c r="O15" s="57"/>
    </row>
    <row r="16" ht="15" customHeight="1">
      <c r="A16" t="s" s="25">
        <v>196</v>
      </c>
      <c r="B16" s="28" cm="1">
        <f t="array" ref="B16">B14/B15-1</f>
        <v>-0.334518788206167</v>
      </c>
      <c r="C16" s="28" cm="1">
        <f t="array" ref="C16">C14/C15-1</f>
        <v>0.00794670035816427</v>
      </c>
      <c r="D16" s="28" cm="1">
        <f t="array" ref="D16">D14/D15-1</f>
        <v>-0.007881086657298709</v>
      </c>
      <c r="E16" s="28" cm="1">
        <f t="array" ref="E16">E14/E15-1</f>
        <v>0.0588955880495765</v>
      </c>
      <c r="F16" s="28" cm="1">
        <f t="array" ref="F16">F14/F15-1</f>
        <v>0.00955577473667822</v>
      </c>
      <c r="G16" s="28" cm="1">
        <f t="array" ref="G16">G14/G15-1</f>
        <v>0.053076432391273</v>
      </c>
      <c r="H16" s="28" cm="1">
        <f t="array" ref="H16">H14/H15-1</f>
        <v>0.0575438888458537</v>
      </c>
      <c r="I16" s="28" cm="1">
        <f t="array" ref="I16">I14/I15-1</f>
        <v>0.0613139319299266</v>
      </c>
      <c r="J16" s="28" cm="1">
        <f t="array" ref="J16">J14/J15-1</f>
        <v>0.0477719550450419</v>
      </c>
      <c r="K16" s="28" cm="1">
        <f t="array" ref="K16">K14/K15-1</f>
        <v>0.058416910308582</v>
      </c>
      <c r="L16" s="28" cm="1">
        <f t="array" ref="L16">L14/L15-1</f>
        <v>0.0637497202800499</v>
      </c>
      <c r="M16" s="28" cm="1">
        <f t="array" ref="M16">M14/M15-1</f>
        <v>0.0940238068749807</v>
      </c>
      <c r="N16" s="77"/>
      <c r="O16" s="77"/>
    </row>
    <row r="17" ht="15" customHeight="1">
      <c r="A17" s="11"/>
      <c r="B17" s="28"/>
      <c r="C17" s="28"/>
      <c r="D17" s="28"/>
      <c r="E17" s="28"/>
      <c r="F17" s="28"/>
      <c r="G17" s="28"/>
      <c r="H17" s="28"/>
      <c r="I17" s="28"/>
      <c r="J17" s="28"/>
      <c r="K17" s="116"/>
      <c r="L17" s="28"/>
      <c r="M17" s="28"/>
      <c r="N17" s="10"/>
      <c r="O17" s="10"/>
    </row>
    <row r="18" ht="15" customHeight="1">
      <c r="A18" t="s" s="106">
        <v>167</v>
      </c>
      <c r="B18" s="28"/>
      <c r="C18" s="28"/>
      <c r="D18" s="28"/>
      <c r="E18" s="28"/>
      <c r="F18" s="28"/>
      <c r="G18" s="28"/>
      <c r="H18" s="28"/>
      <c r="I18" s="28"/>
      <c r="J18" t="s" s="54">
        <v>197</v>
      </c>
      <c r="K18" s="116">
        <v>17556208</v>
      </c>
      <c r="L18" s="63">
        <v>14663319</v>
      </c>
      <c r="M18" s="28"/>
      <c r="N18" s="10"/>
      <c r="O18" s="10"/>
    </row>
    <row r="19" ht="15" customHeight="1">
      <c r="A19" s="64"/>
      <c r="B19" s="28"/>
      <c r="C19" s="28"/>
      <c r="D19" s="28"/>
      <c r="E19" s="28"/>
      <c r="F19" s="28"/>
      <c r="G19" s="28"/>
      <c r="H19" s="28"/>
      <c r="I19" s="28"/>
      <c r="J19" s="28"/>
      <c r="K19" s="116"/>
      <c r="L19" s="28"/>
      <c r="M19" s="28"/>
      <c r="N19" s="10"/>
      <c r="O19" s="10"/>
    </row>
    <row r="20" ht="15" customHeight="1">
      <c r="A20" s="13"/>
      <c r="B20" s="29"/>
      <c r="C20" s="29"/>
      <c r="D20" s="29"/>
      <c r="E20" s="29"/>
      <c r="F20" s="13"/>
      <c r="G20" s="13"/>
      <c r="H20" s="13"/>
      <c r="I20" s="13"/>
      <c r="J20" s="13"/>
      <c r="K20" s="13"/>
      <c r="L20" s="13"/>
      <c r="M20" s="13"/>
      <c r="N20" s="10"/>
      <c r="O20" s="10"/>
    </row>
    <row r="21" ht="15" customHeight="1">
      <c r="A21" t="s" s="33">
        <v>120</v>
      </c>
      <c r="B21" s="18" cm="1">
        <f t="array" ref="B21">50000+340000+33700</f>
        <v>423700</v>
      </c>
      <c r="C21" s="92">
        <v>113950</v>
      </c>
      <c r="D21" s="18">
        <v>1700000</v>
      </c>
      <c r="E21" s="18"/>
      <c r="F21" s="18"/>
      <c r="G21" s="18"/>
      <c r="H21" s="18"/>
      <c r="I21" s="92"/>
      <c r="J21" s="92"/>
      <c r="K21" s="92"/>
      <c r="L21" s="18"/>
      <c r="M21" s="92"/>
      <c r="N21" s="97" cm="1">
        <f t="array" ref="N21">SUM(B21:M21)</f>
        <v>2237650</v>
      </c>
      <c r="O21" s="98"/>
    </row>
    <row r="22" ht="15" customHeight="1">
      <c r="A22" t="s" s="33">
        <v>38</v>
      </c>
      <c r="B22" s="18"/>
      <c r="C22" s="18"/>
      <c r="D22" s="18"/>
      <c r="E22" s="18"/>
      <c r="F22" s="18"/>
      <c r="G22" s="18"/>
      <c r="H22" s="18"/>
      <c r="I22" s="39"/>
      <c r="J22" s="18"/>
      <c r="K22" s="18"/>
      <c r="L22" s="18"/>
      <c r="M22" s="18"/>
      <c r="N22" s="97" cm="1">
        <f t="array" ref="N22">SUM(B22:M22)</f>
        <v>0</v>
      </c>
      <c r="O22" s="98"/>
    </row>
    <row r="23" ht="15" customHeight="1">
      <c r="A23" t="s" s="33">
        <v>121</v>
      </c>
      <c r="B23" s="18"/>
      <c r="C23" s="18"/>
      <c r="D23" s="18"/>
      <c r="E23" s="18"/>
      <c r="F23" s="18"/>
      <c r="G23" s="18"/>
      <c r="H23" s="18"/>
      <c r="I23" s="18"/>
      <c r="J23" s="18"/>
      <c r="K23" s="18"/>
      <c r="L23" s="18"/>
      <c r="M23" s="18"/>
      <c r="N23" s="94" cm="1">
        <f t="array" ref="N23">SUM(B23:M23)</f>
        <v>0</v>
      </c>
      <c r="O23" s="19"/>
    </row>
    <row r="24" ht="15" customHeight="1">
      <c r="A24" t="s" s="33">
        <v>122</v>
      </c>
      <c r="B24" s="18"/>
      <c r="C24" s="18"/>
      <c r="D24" s="18"/>
      <c r="E24" s="18"/>
      <c r="F24" s="18"/>
      <c r="G24" s="18"/>
      <c r="H24" s="18"/>
      <c r="I24" s="18"/>
      <c r="J24" s="18"/>
      <c r="K24" s="18"/>
      <c r="L24" s="18"/>
      <c r="M24" s="18"/>
      <c r="N24" s="94" cm="1">
        <f t="array" ref="N24">SUM(B24:M24)</f>
        <v>0</v>
      </c>
      <c r="O24" s="19"/>
    </row>
    <row r="25" ht="15" customHeight="1">
      <c r="A25" t="s" s="33">
        <v>49</v>
      </c>
      <c r="B25" s="18"/>
      <c r="C25" s="18"/>
      <c r="D25" s="18"/>
      <c r="E25" s="18"/>
      <c r="F25" s="18"/>
      <c r="G25" s="18"/>
      <c r="H25" s="18"/>
      <c r="I25" s="18"/>
      <c r="J25" s="18"/>
      <c r="K25" s="18"/>
      <c r="L25" s="18"/>
      <c r="M25" s="18"/>
      <c r="N25" s="94" cm="1">
        <f t="array" ref="N25">SUM(B25:M25)</f>
        <v>0</v>
      </c>
      <c r="O25" s="19"/>
    </row>
    <row r="26" ht="15" customHeight="1">
      <c r="A26" s="30"/>
      <c r="B26" s="23"/>
      <c r="C26" s="23"/>
      <c r="D26" s="23"/>
      <c r="E26" s="23"/>
      <c r="F26" s="23"/>
      <c r="G26" s="23"/>
      <c r="H26" s="23"/>
      <c r="I26" s="45"/>
      <c r="J26" s="23"/>
      <c r="K26" s="23"/>
      <c r="L26" s="23"/>
      <c r="M26" s="23"/>
      <c r="N26" s="27"/>
      <c r="O26" s="27"/>
    </row>
    <row r="27" ht="15" customHeight="1">
      <c r="A27" s="11"/>
      <c r="B27" s="26"/>
      <c r="C27" s="26"/>
      <c r="D27" s="26"/>
      <c r="E27" s="26"/>
      <c r="F27" s="26"/>
      <c r="G27" s="26"/>
      <c r="H27" s="26"/>
      <c r="I27" s="26"/>
      <c r="J27" s="26"/>
      <c r="K27" s="26"/>
      <c r="L27" s="26"/>
      <c r="M27" s="26"/>
      <c r="N27" s="27"/>
      <c r="O27" s="27"/>
    </row>
    <row r="28" ht="23" customHeight="1">
      <c r="A28" t="s" s="7">
        <v>6</v>
      </c>
      <c r="B28" s="8"/>
      <c r="C28" s="8"/>
      <c r="D28" s="9"/>
      <c r="E28" s="9"/>
      <c r="F28" s="9"/>
      <c r="G28" s="9"/>
      <c r="H28" s="9"/>
      <c r="I28" s="9"/>
      <c r="J28" s="9"/>
      <c r="K28" s="9"/>
      <c r="L28" s="9"/>
      <c r="M28" s="9"/>
      <c r="N28" s="27"/>
      <c r="O28" s="27"/>
    </row>
    <row r="29" ht="23" customHeight="1">
      <c r="A29" t="s" s="7">
        <v>198</v>
      </c>
      <c r="B29" s="8"/>
      <c r="C29" s="8"/>
      <c r="D29" s="12"/>
      <c r="E29" s="12"/>
      <c r="F29" s="12"/>
      <c r="G29" s="12"/>
      <c r="H29" s="12"/>
      <c r="I29" s="12"/>
      <c r="J29" s="12"/>
      <c r="K29" s="12"/>
      <c r="L29" s="12"/>
      <c r="M29" s="12"/>
      <c r="N29" s="27"/>
      <c r="O29" s="27"/>
    </row>
    <row r="30" ht="23" customHeight="1">
      <c r="A30" s="8"/>
      <c r="B30" s="8"/>
      <c r="C30" s="8"/>
      <c r="D30" s="9"/>
      <c r="E30" s="9"/>
      <c r="F30" s="9"/>
      <c r="G30" s="9"/>
      <c r="H30" s="9"/>
      <c r="I30" s="9"/>
      <c r="J30" s="9"/>
      <c r="K30" s="9"/>
      <c r="L30" s="9"/>
      <c r="M30" s="9"/>
      <c r="N30" s="27"/>
      <c r="O30" s="27"/>
    </row>
    <row r="31" ht="15" customHeight="1">
      <c r="A31" s="13"/>
      <c r="B31" s="13"/>
      <c r="C31" s="13"/>
      <c r="D31" s="13"/>
      <c r="E31" s="13"/>
      <c r="F31" s="13"/>
      <c r="G31" s="13"/>
      <c r="H31" s="153"/>
      <c r="I31" s="153"/>
      <c r="J31" s="153"/>
      <c r="K31" s="153"/>
      <c r="L31" s="153"/>
      <c r="M31" s="153"/>
      <c r="N31" s="78"/>
      <c r="O31" s="78"/>
    </row>
    <row r="32" ht="15" customHeight="1">
      <c r="A32" t="s" s="32">
        <v>28</v>
      </c>
      <c r="B32" t="s" s="14">
        <v>9</v>
      </c>
      <c r="C32" t="s" s="14">
        <v>10</v>
      </c>
      <c r="D32" t="s" s="14">
        <v>11</v>
      </c>
      <c r="E32" t="s" s="14">
        <v>12</v>
      </c>
      <c r="F32" t="s" s="14">
        <v>13</v>
      </c>
      <c r="G32" t="s" s="14">
        <v>14</v>
      </c>
      <c r="H32" t="s" s="14">
        <v>15</v>
      </c>
      <c r="I32" t="s" s="14">
        <v>16</v>
      </c>
      <c r="J32" t="s" s="14">
        <v>17</v>
      </c>
      <c r="K32" t="s" s="14">
        <v>18</v>
      </c>
      <c r="L32" t="s" s="14">
        <v>19</v>
      </c>
      <c r="M32" t="s" s="14">
        <v>20</v>
      </c>
      <c r="N32" t="s" s="73">
        <v>199</v>
      </c>
      <c r="O32" s="91"/>
    </row>
    <row r="33" ht="15" customHeight="1">
      <c r="A33" t="s" s="33">
        <v>179</v>
      </c>
      <c r="B33" s="79">
        <v>1088</v>
      </c>
      <c r="C33" s="79">
        <v>1579</v>
      </c>
      <c r="D33" s="79">
        <v>1357</v>
      </c>
      <c r="E33" s="80">
        <v>1276</v>
      </c>
      <c r="F33" s="80">
        <v>1447</v>
      </c>
      <c r="G33" s="80" cm="1">
        <f t="array" ref="G33">5036/4</f>
        <v>1259</v>
      </c>
      <c r="H33" s="80" cm="1">
        <f t="array" ref="H33">7070/5</f>
        <v>1414</v>
      </c>
      <c r="I33" s="80">
        <v>1299</v>
      </c>
      <c r="J33" s="118">
        <v>1433</v>
      </c>
      <c r="K33" s="17">
        <v>1315</v>
      </c>
      <c r="L33" s="17">
        <v>1468</v>
      </c>
      <c r="M33" s="17">
        <v>1420</v>
      </c>
      <c r="N33" s="135"/>
      <c r="O33" s="154"/>
    </row>
    <row r="34" ht="15" customHeight="1">
      <c r="A34" t="s" s="33">
        <v>180</v>
      </c>
      <c r="B34" s="79">
        <v>493</v>
      </c>
      <c r="C34" s="79">
        <v>612</v>
      </c>
      <c r="D34" s="79">
        <v>604</v>
      </c>
      <c r="E34" s="80">
        <v>535</v>
      </c>
      <c r="F34" s="80">
        <v>547</v>
      </c>
      <c r="G34" s="80">
        <v>516</v>
      </c>
      <c r="H34" s="80">
        <v>582</v>
      </c>
      <c r="I34" s="80">
        <v>571</v>
      </c>
      <c r="J34" s="118">
        <v>576</v>
      </c>
      <c r="K34" s="17">
        <v>545</v>
      </c>
      <c r="L34" s="17">
        <v>579</v>
      </c>
      <c r="M34" s="17">
        <v>503</v>
      </c>
      <c r="N34" s="141"/>
      <c r="O34" s="155"/>
    </row>
    <row r="35" ht="15" customHeight="1">
      <c r="A35" t="s" s="33">
        <v>30</v>
      </c>
      <c r="B35" s="80"/>
      <c r="C35" s="80"/>
      <c r="D35" s="80"/>
      <c r="E35" s="80"/>
      <c r="F35" s="80"/>
      <c r="G35" s="80"/>
      <c r="H35" s="80"/>
      <c r="I35" s="35"/>
      <c r="J35" s="35"/>
      <c r="K35" s="35"/>
      <c r="L35" s="35"/>
      <c r="M35" s="35"/>
      <c r="N35" s="36"/>
      <c r="O35" s="11"/>
    </row>
    <row r="36" ht="15" customHeight="1">
      <c r="A36" t="s" s="33">
        <v>31</v>
      </c>
      <c r="B36" s="80">
        <v>306</v>
      </c>
      <c r="C36" s="80">
        <v>282</v>
      </c>
      <c r="D36" s="80">
        <v>434</v>
      </c>
      <c r="E36" s="80">
        <v>424</v>
      </c>
      <c r="F36" s="80">
        <v>400</v>
      </c>
      <c r="G36" s="80">
        <v>366</v>
      </c>
      <c r="H36" s="80">
        <v>320</v>
      </c>
      <c r="I36" s="17">
        <v>329</v>
      </c>
      <c r="J36" s="17">
        <v>231</v>
      </c>
      <c r="K36" s="17">
        <v>263</v>
      </c>
      <c r="L36" s="17">
        <v>308</v>
      </c>
      <c r="M36" s="17">
        <v>272</v>
      </c>
      <c r="N36" s="36"/>
      <c r="O36" s="11"/>
    </row>
    <row r="37" ht="15" customHeight="1">
      <c r="A37" t="s" s="33">
        <v>32</v>
      </c>
      <c r="B37" s="80"/>
      <c r="C37" s="80"/>
      <c r="D37" s="80"/>
      <c r="E37" s="80"/>
      <c r="F37" s="80"/>
      <c r="G37" s="80"/>
      <c r="H37" s="80"/>
      <c r="I37" s="35"/>
      <c r="J37" s="35"/>
      <c r="K37" s="35"/>
      <c r="L37" s="35"/>
      <c r="M37" s="35"/>
      <c r="N37" s="36"/>
      <c r="O37" s="11"/>
    </row>
    <row r="38" ht="15" customHeight="1">
      <c r="A38" t="s" s="33">
        <v>33</v>
      </c>
      <c r="B38" s="80"/>
      <c r="C38" s="80"/>
      <c r="D38" s="80"/>
      <c r="E38" s="80"/>
      <c r="F38" s="80"/>
      <c r="G38" s="80"/>
      <c r="H38" s="80"/>
      <c r="I38" s="80"/>
      <c r="J38" s="35"/>
      <c r="K38" s="80"/>
      <c r="L38" s="35"/>
      <c r="M38" s="17">
        <v>253</v>
      </c>
      <c r="N38" s="36"/>
      <c r="O38" s="11"/>
    </row>
    <row r="39" ht="15" customHeight="1">
      <c r="A39" s="40">
        <v>1</v>
      </c>
      <c r="B39" s="80"/>
      <c r="C39" s="80"/>
      <c r="D39" s="80"/>
      <c r="E39" s="80"/>
      <c r="F39" s="80"/>
      <c r="G39" s="80"/>
      <c r="H39" s="80"/>
      <c r="I39" s="35"/>
      <c r="J39" s="35"/>
      <c r="K39" s="35"/>
      <c r="L39" s="35"/>
      <c r="M39" s="35"/>
      <c r="N39" s="36"/>
      <c r="O39" s="11"/>
    </row>
    <row r="40" ht="15" customHeight="1">
      <c r="A40" s="40">
        <v>2</v>
      </c>
      <c r="B40" s="80"/>
      <c r="C40" s="80"/>
      <c r="D40" s="80"/>
      <c r="E40" s="80"/>
      <c r="F40" s="80"/>
      <c r="G40" s="80"/>
      <c r="H40" s="80"/>
      <c r="I40" s="35"/>
      <c r="J40" s="35"/>
      <c r="K40" s="35"/>
      <c r="L40" s="35"/>
      <c r="M40" s="35"/>
      <c r="N40" s="36"/>
      <c r="O40" s="11"/>
    </row>
    <row r="41" ht="15" customHeight="1">
      <c r="A41" s="40">
        <v>3</v>
      </c>
      <c r="B41" s="80"/>
      <c r="C41" s="80"/>
      <c r="D41" s="80"/>
      <c r="E41" s="80"/>
      <c r="F41" s="80"/>
      <c r="G41" s="80"/>
      <c r="H41" s="80"/>
      <c r="I41" s="35"/>
      <c r="J41" s="35"/>
      <c r="K41" s="35"/>
      <c r="L41" s="35"/>
      <c r="M41" s="35"/>
      <c r="N41" s="36"/>
      <c r="O41" s="11"/>
    </row>
    <row r="42" ht="15" customHeight="1">
      <c r="A42" t="s" s="33">
        <v>34</v>
      </c>
      <c r="B42" s="35"/>
      <c r="C42" s="35"/>
      <c r="D42" s="35"/>
      <c r="E42" s="35"/>
      <c r="F42" s="35"/>
      <c r="G42" s="35"/>
      <c r="H42" s="35"/>
      <c r="I42" s="35"/>
      <c r="J42" s="35"/>
      <c r="K42" s="35"/>
      <c r="L42" s="35"/>
      <c r="M42" s="35"/>
      <c r="N42" s="36"/>
      <c r="O42" s="11"/>
    </row>
    <row r="43" ht="15" customHeight="1">
      <c r="A43" s="37"/>
      <c r="B43" s="83"/>
      <c r="C43" s="83"/>
      <c r="D43" s="83"/>
      <c r="E43" s="83"/>
      <c r="F43" s="83"/>
      <c r="G43" s="84"/>
      <c r="H43" s="83"/>
      <c r="I43" s="37"/>
      <c r="J43" s="37"/>
      <c r="K43" s="37"/>
      <c r="L43" s="37"/>
      <c r="M43" s="37"/>
      <c r="N43" s="11"/>
      <c r="O43" s="11"/>
    </row>
    <row r="44" ht="15" customHeight="1">
      <c r="A44" t="s" s="32">
        <v>28</v>
      </c>
      <c r="B44" t="s" s="14">
        <v>9</v>
      </c>
      <c r="C44" t="s" s="14">
        <v>10</v>
      </c>
      <c r="D44" t="s" s="14">
        <v>11</v>
      </c>
      <c r="E44" t="s" s="14">
        <v>12</v>
      </c>
      <c r="F44" t="s" s="14">
        <v>13</v>
      </c>
      <c r="G44" t="s" s="14">
        <v>14</v>
      </c>
      <c r="H44" t="s" s="14">
        <v>15</v>
      </c>
      <c r="I44" t="s" s="14">
        <v>16</v>
      </c>
      <c r="J44" t="s" s="14">
        <v>17</v>
      </c>
      <c r="K44" t="s" s="14">
        <v>18</v>
      </c>
      <c r="L44" t="s" s="14">
        <v>19</v>
      </c>
      <c r="M44" t="s" s="14">
        <v>20</v>
      </c>
      <c r="N44" s="36"/>
      <c r="O44" s="11"/>
    </row>
    <row r="45" ht="15" customHeight="1">
      <c r="A45" t="s" s="33">
        <v>35</v>
      </c>
      <c r="B45" s="17">
        <v>99</v>
      </c>
      <c r="C45" s="17">
        <v>96</v>
      </c>
      <c r="D45" s="17">
        <v>65</v>
      </c>
      <c r="E45" s="17">
        <v>120</v>
      </c>
      <c r="F45" s="17">
        <v>57</v>
      </c>
      <c r="G45" s="17">
        <v>77</v>
      </c>
      <c r="H45" s="17">
        <v>134</v>
      </c>
      <c r="I45" s="17">
        <v>114</v>
      </c>
      <c r="J45" s="17">
        <v>108</v>
      </c>
      <c r="K45" s="17">
        <v>105</v>
      </c>
      <c r="L45" s="17">
        <v>72</v>
      </c>
      <c r="M45" s="17">
        <v>155</v>
      </c>
      <c r="N45" s="36"/>
      <c r="O45" s="11"/>
    </row>
    <row r="46" ht="15" customHeight="1">
      <c r="A46" t="s" s="33">
        <v>85</v>
      </c>
      <c r="B46" s="17" cm="1">
        <f t="array" ref="B46">58+70</f>
        <v>128</v>
      </c>
      <c r="C46" s="17">
        <v>57</v>
      </c>
      <c r="D46" s="35"/>
      <c r="E46" s="35"/>
      <c r="F46" s="35"/>
      <c r="G46" s="35"/>
      <c r="H46" s="35"/>
      <c r="I46" s="35"/>
      <c r="J46" s="35"/>
      <c r="K46" s="35"/>
      <c r="L46" s="17">
        <v>38</v>
      </c>
      <c r="M46" s="35"/>
      <c r="N46" s="36"/>
      <c r="O46" s="11"/>
    </row>
    <row r="47" ht="15" customHeight="1">
      <c r="A47" t="s" s="33">
        <v>37</v>
      </c>
      <c r="B47" s="35"/>
      <c r="C47" s="35"/>
      <c r="D47" s="35"/>
      <c r="E47" s="35"/>
      <c r="F47" s="35"/>
      <c r="G47" s="35"/>
      <c r="H47" s="35"/>
      <c r="I47" s="35"/>
      <c r="J47" s="35"/>
      <c r="K47" s="35"/>
      <c r="L47" s="35"/>
      <c r="M47" s="35"/>
      <c r="N47" s="36"/>
      <c r="O47" s="11"/>
    </row>
    <row r="48" ht="15" customHeight="1">
      <c r="A48" t="s" s="33">
        <v>100</v>
      </c>
      <c r="B48" s="35"/>
      <c r="C48" s="35"/>
      <c r="D48" s="35"/>
      <c r="E48" s="35"/>
      <c r="F48" s="35"/>
      <c r="G48" s="35"/>
      <c r="H48" s="35"/>
      <c r="I48" s="35"/>
      <c r="J48" s="35"/>
      <c r="K48" s="35"/>
      <c r="L48" s="35"/>
      <c r="M48" s="35"/>
      <c r="N48" s="36"/>
      <c r="O48" s="11"/>
    </row>
    <row r="49" ht="15" customHeight="1">
      <c r="A49" t="s" s="33">
        <v>101</v>
      </c>
      <c r="B49" s="35"/>
      <c r="C49" s="35"/>
      <c r="D49" s="35"/>
      <c r="E49" s="35"/>
      <c r="F49" s="35"/>
      <c r="G49" s="35"/>
      <c r="H49" s="35"/>
      <c r="I49" s="35"/>
      <c r="J49" s="35"/>
      <c r="K49" s="35"/>
      <c r="L49" s="35"/>
      <c r="M49" s="35"/>
      <c r="N49" s="36"/>
      <c r="O49" s="11"/>
    </row>
    <row r="50" ht="15" customHeight="1">
      <c r="A50" t="s" s="33">
        <v>169</v>
      </c>
      <c r="B50" s="35"/>
      <c r="C50" s="35"/>
      <c r="D50" s="35"/>
      <c r="E50" s="35"/>
      <c r="F50" s="35"/>
      <c r="G50" s="35"/>
      <c r="H50" s="35"/>
      <c r="I50" s="35"/>
      <c r="J50" s="35"/>
      <c r="K50" s="35"/>
      <c r="L50" s="35"/>
      <c r="M50" s="35"/>
      <c r="N50" s="36"/>
      <c r="O50" s="11"/>
    </row>
    <row r="51" ht="15" customHeight="1">
      <c r="A51" s="39"/>
      <c r="B51" s="35"/>
      <c r="C51" s="35"/>
      <c r="D51" s="35"/>
      <c r="E51" s="35"/>
      <c r="F51" s="35"/>
      <c r="G51" s="35"/>
      <c r="H51" s="35"/>
      <c r="I51" s="35"/>
      <c r="J51" s="35"/>
      <c r="K51" s="35"/>
      <c r="L51" s="35"/>
      <c r="M51" s="35"/>
      <c r="N51" s="36"/>
      <c r="O51" s="11"/>
    </row>
    <row r="52" ht="29" customHeight="1">
      <c r="A52" t="s" s="68">
        <v>86</v>
      </c>
      <c r="B52" t="s" s="14">
        <v>9</v>
      </c>
      <c r="C52" t="s" s="14">
        <v>10</v>
      </c>
      <c r="D52" t="s" s="14">
        <v>11</v>
      </c>
      <c r="E52" t="s" s="14">
        <v>12</v>
      </c>
      <c r="F52" t="s" s="14">
        <v>13</v>
      </c>
      <c r="G52" t="s" s="14">
        <v>14</v>
      </c>
      <c r="H52" t="s" s="14">
        <v>15</v>
      </c>
      <c r="I52" t="s" s="14">
        <v>16</v>
      </c>
      <c r="J52" t="s" s="14">
        <v>17</v>
      </c>
      <c r="K52" t="s" s="14">
        <v>18</v>
      </c>
      <c r="L52" t="s" s="14">
        <v>19</v>
      </c>
      <c r="M52" t="s" s="14">
        <v>20</v>
      </c>
      <c r="N52" s="36"/>
      <c r="O52" s="11"/>
    </row>
    <row r="53" ht="15" customHeight="1">
      <c r="A53" t="s" s="33">
        <v>39</v>
      </c>
      <c r="B53" s="35"/>
      <c r="C53" s="35"/>
      <c r="D53" s="35"/>
      <c r="E53" s="35"/>
      <c r="F53" s="35"/>
      <c r="G53" s="35"/>
      <c r="H53" s="35"/>
      <c r="I53" s="35"/>
      <c r="J53" s="35"/>
      <c r="K53" s="35"/>
      <c r="L53" s="35"/>
      <c r="M53" s="17">
        <v>308</v>
      </c>
      <c r="N53" s="36"/>
      <c r="O53" s="11"/>
    </row>
    <row r="54" ht="15" customHeight="1">
      <c r="A54" t="s" s="33">
        <v>40</v>
      </c>
      <c r="B54" s="35"/>
      <c r="C54" s="142"/>
      <c r="D54" s="41"/>
      <c r="E54" s="41"/>
      <c r="F54" s="41"/>
      <c r="G54" s="147"/>
      <c r="H54" s="35"/>
      <c r="I54" s="35"/>
      <c r="J54" s="35"/>
      <c r="K54" s="35"/>
      <c r="L54" s="35"/>
      <c r="M54" s="17">
        <v>160</v>
      </c>
      <c r="N54" s="36"/>
      <c r="O54" s="11"/>
    </row>
    <row r="55" ht="15" customHeight="1">
      <c r="A55" t="s" s="33">
        <v>41</v>
      </c>
      <c r="B55" s="35"/>
      <c r="C55" s="35"/>
      <c r="D55" s="35"/>
      <c r="E55" s="35"/>
      <c r="F55" s="35"/>
      <c r="G55" s="35"/>
      <c r="H55" s="35"/>
      <c r="I55" s="35"/>
      <c r="J55" s="35"/>
      <c r="K55" s="35"/>
      <c r="L55" s="35"/>
      <c r="M55" s="17">
        <v>133</v>
      </c>
      <c r="N55" s="36"/>
      <c r="O55" s="11"/>
    </row>
    <row r="56" ht="15" customHeight="1">
      <c r="A56" t="s" s="33">
        <v>42</v>
      </c>
      <c r="B56" s="39"/>
      <c r="C56" s="35"/>
      <c r="D56" s="35"/>
      <c r="E56" s="35"/>
      <c r="F56" s="35"/>
      <c r="G56" s="35"/>
      <c r="H56" s="35"/>
      <c r="I56" s="35"/>
      <c r="J56" s="35"/>
      <c r="K56" s="39"/>
      <c r="L56" s="39"/>
      <c r="M56" s="17" cm="1">
        <f t="array" ref="M56">132+49</f>
        <v>181</v>
      </c>
      <c r="N56" s="36"/>
      <c r="O56" s="11"/>
    </row>
    <row r="57" ht="15" customHeight="1">
      <c r="A57" t="s" s="33">
        <v>87</v>
      </c>
      <c r="B57" s="39"/>
      <c r="C57" s="35"/>
      <c r="D57" s="35"/>
      <c r="E57" s="35"/>
      <c r="F57" s="35"/>
      <c r="G57" s="35"/>
      <c r="H57" s="35"/>
      <c r="I57" s="35"/>
      <c r="J57" s="35"/>
      <c r="K57" s="39"/>
      <c r="L57" s="39"/>
      <c r="M57" s="17" cm="1">
        <f t="array" ref="M57">45+10</f>
        <v>55</v>
      </c>
      <c r="N57" s="36"/>
      <c r="O57" s="11"/>
    </row>
    <row r="58" ht="15" customHeight="1">
      <c r="A58" t="s" s="33">
        <v>88</v>
      </c>
      <c r="B58" s="39"/>
      <c r="C58" s="35"/>
      <c r="D58" s="35"/>
      <c r="E58" s="35"/>
      <c r="F58" s="35"/>
      <c r="G58" s="35"/>
      <c r="H58" s="35"/>
      <c r="I58" s="39"/>
      <c r="J58" s="39"/>
      <c r="K58" s="35"/>
      <c r="L58" s="39"/>
      <c r="M58" s="17">
        <v>95</v>
      </c>
      <c r="N58" s="36"/>
      <c r="O58" s="11"/>
    </row>
    <row r="59" ht="15" customHeight="1">
      <c r="A59" t="s" s="33">
        <v>170</v>
      </c>
      <c r="B59" s="39"/>
      <c r="C59" s="35"/>
      <c r="D59" s="35"/>
      <c r="E59" s="35"/>
      <c r="F59" s="35"/>
      <c r="G59" s="35"/>
      <c r="H59" s="35"/>
      <c r="I59" s="35"/>
      <c r="J59" s="35"/>
      <c r="K59" s="35"/>
      <c r="L59" s="39"/>
      <c r="M59" s="17">
        <v>65</v>
      </c>
      <c r="N59" s="36"/>
      <c r="O59" s="11"/>
    </row>
    <row r="60" ht="15" customHeight="1">
      <c r="A60" t="s" s="33">
        <v>125</v>
      </c>
      <c r="B60" s="39"/>
      <c r="C60" s="35"/>
      <c r="D60" s="35"/>
      <c r="E60" s="35"/>
      <c r="F60" s="35"/>
      <c r="G60" s="35"/>
      <c r="H60" s="35"/>
      <c r="I60" s="35"/>
      <c r="J60" s="35"/>
      <c r="K60" s="35"/>
      <c r="L60" s="39"/>
      <c r="M60" s="17">
        <v>181</v>
      </c>
      <c r="N60" s="36"/>
      <c r="O60" s="11"/>
    </row>
    <row r="61" ht="15" customHeight="1">
      <c r="A61" t="s" s="33">
        <v>54</v>
      </c>
      <c r="B61" s="39"/>
      <c r="C61" s="35"/>
      <c r="D61" s="35"/>
      <c r="E61" s="35"/>
      <c r="F61" s="35"/>
      <c r="G61" s="35"/>
      <c r="H61" s="35"/>
      <c r="I61" s="35"/>
      <c r="J61" s="35"/>
      <c r="K61" s="35"/>
      <c r="L61" s="39"/>
      <c r="M61" t="s" s="20">
        <v>200</v>
      </c>
      <c r="N61" s="36"/>
      <c r="O61" s="11"/>
    </row>
    <row r="62" ht="15" customHeight="1">
      <c r="A62" t="s" s="33">
        <v>22</v>
      </c>
      <c r="B62" s="17" cm="1">
        <f t="array" ref="B62">SUM(B53:B61)</f>
        <v>0</v>
      </c>
      <c r="C62" s="17" cm="1">
        <f t="array" ref="C62">SUM(C53:C61)</f>
        <v>0</v>
      </c>
      <c r="D62" s="17" cm="1">
        <f t="array" ref="D62">SUM(D53:D61)</f>
        <v>0</v>
      </c>
      <c r="E62" s="17" cm="1">
        <f t="array" ref="E62">SUM(E53:E61)</f>
        <v>0</v>
      </c>
      <c r="F62" s="17" cm="1">
        <f t="array" ref="F62">SUM(F53:F61)</f>
        <v>0</v>
      </c>
      <c r="G62" s="17" cm="1">
        <f t="array" ref="G62">SUM(G53:G61)</f>
        <v>0</v>
      </c>
      <c r="H62" s="17" cm="1">
        <f t="array" ref="H62">SUM(H53:H61)</f>
        <v>0</v>
      </c>
      <c r="I62" s="17" cm="1">
        <f t="array" ref="I62">SUM(I53:I61)</f>
        <v>0</v>
      </c>
      <c r="J62" s="17" cm="1">
        <f t="array" ref="J62">SUM(J53:J61)</f>
        <v>0</v>
      </c>
      <c r="K62" s="17" cm="1">
        <f t="array" ref="K62">SUM(K53:K61)</f>
        <v>0</v>
      </c>
      <c r="L62" s="17" cm="1">
        <f t="array" ref="L62">SUM(L53:L61)</f>
        <v>0</v>
      </c>
      <c r="M62" s="17" cm="1">
        <f t="array" ref="M62">SUM(M53:M61)</f>
        <v>1178</v>
      </c>
      <c r="N62" s="36"/>
      <c r="O62" s="11"/>
    </row>
    <row r="63" ht="15" customHeight="1">
      <c r="A63" s="37"/>
      <c r="B63" s="37"/>
      <c r="C63" s="41"/>
      <c r="D63" s="41"/>
      <c r="E63" s="41"/>
      <c r="F63" s="41"/>
      <c r="G63" s="37"/>
      <c r="H63" s="37"/>
      <c r="I63" s="37"/>
      <c r="J63" s="37"/>
      <c r="K63" s="37"/>
      <c r="L63" s="37"/>
      <c r="M63" s="37"/>
      <c r="N63" s="11"/>
      <c r="O63" s="11"/>
    </row>
    <row r="64" ht="15" customHeight="1">
      <c r="A64" s="37"/>
      <c r="B64" s="123">
        <v>43466</v>
      </c>
      <c r="C64" s="123">
        <v>43132</v>
      </c>
      <c r="D64" s="123">
        <v>43160</v>
      </c>
      <c r="E64" s="123">
        <v>43191</v>
      </c>
      <c r="F64" s="123">
        <v>43221</v>
      </c>
      <c r="G64" s="123">
        <v>43252</v>
      </c>
      <c r="H64" s="123">
        <v>43282</v>
      </c>
      <c r="I64" s="124">
        <v>42948</v>
      </c>
      <c r="J64" s="123">
        <v>42979</v>
      </c>
      <c r="K64" s="123">
        <v>43009</v>
      </c>
      <c r="L64" s="123">
        <v>43405</v>
      </c>
      <c r="M64" s="123">
        <v>43435</v>
      </c>
      <c r="N64" s="11"/>
      <c r="O64" s="11"/>
    </row>
    <row r="65" ht="15" customHeight="1">
      <c r="A65" t="s" s="87">
        <v>102</v>
      </c>
      <c r="B65" s="104" cm="1">
        <f t="array" ref="B65">B66+B67</f>
        <v>0</v>
      </c>
      <c r="C65" s="104" cm="1">
        <f t="array" ref="C65">C66+C67</f>
        <v>0</v>
      </c>
      <c r="D65" s="104" cm="1">
        <f t="array" ref="D65">D66+D67</f>
        <v>0</v>
      </c>
      <c r="E65" s="104" cm="1">
        <f t="array" ref="E65">E66+E67</f>
        <v>0</v>
      </c>
      <c r="F65" s="104" cm="1">
        <f t="array" ref="F65">F66+F67</f>
        <v>0</v>
      </c>
      <c r="G65" s="104" cm="1">
        <f t="array" ref="G65">G66+G67</f>
        <v>0</v>
      </c>
      <c r="H65" s="104" cm="1">
        <f t="array" ref="H65">H66+H67</f>
        <v>0</v>
      </c>
      <c r="I65" s="104" cm="1">
        <f t="array" ref="I65">I66+I67</f>
        <v>0</v>
      </c>
      <c r="J65" s="104" cm="1">
        <f t="array" ref="J65">J66+J67</f>
        <v>0</v>
      </c>
      <c r="K65" s="104" cm="1">
        <f t="array" ref="K65">K66+K67</f>
        <v>0</v>
      </c>
      <c r="L65" s="104" cm="1">
        <f t="array" ref="L65">L66+L67</f>
        <v>0</v>
      </c>
      <c r="M65" s="104" cm="1">
        <f t="array" ref="M65">M66+M67</f>
        <v>0</v>
      </c>
      <c r="N65" s="11"/>
      <c r="O65" s="11"/>
    </row>
    <row r="66" ht="15" customHeight="1">
      <c r="A66" t="s" s="87">
        <v>157</v>
      </c>
      <c r="B66" s="41"/>
      <c r="C66" s="41"/>
      <c r="D66" s="41"/>
      <c r="E66" s="41"/>
      <c r="F66" s="41"/>
      <c r="G66" s="143"/>
      <c r="H66" s="80"/>
      <c r="I66" s="136"/>
      <c r="J66" s="30"/>
      <c r="K66" s="30"/>
      <c r="L66" s="30"/>
      <c r="M66" s="30"/>
      <c r="N66" s="11"/>
      <c r="O66" s="11"/>
    </row>
    <row r="67" ht="15" customHeight="1">
      <c r="A67" t="s" s="87">
        <v>158</v>
      </c>
      <c r="B67" s="41"/>
      <c r="C67" s="41"/>
      <c r="D67" s="41"/>
      <c r="E67" s="41"/>
      <c r="F67" s="41"/>
      <c r="G67" s="12"/>
      <c r="H67" s="30"/>
      <c r="I67" s="11"/>
      <c r="J67" s="63"/>
      <c r="K67" s="63"/>
      <c r="L67" s="11"/>
      <c r="M67" s="11"/>
      <c r="N67" s="11"/>
      <c r="O67" s="11"/>
    </row>
    <row r="68" ht="15" customHeight="1">
      <c r="A68" s="37"/>
      <c r="B68" s="41"/>
      <c r="C68" s="41"/>
      <c r="D68" s="41"/>
      <c r="E68" s="41"/>
      <c r="F68" s="41"/>
      <c r="G68" s="12"/>
      <c r="H68" s="11"/>
      <c r="I68" s="11"/>
      <c r="J68" s="63"/>
      <c r="K68" s="63"/>
      <c r="L68" s="11"/>
      <c r="M68" s="11"/>
      <c r="N68" s="11"/>
      <c r="O68" s="11"/>
    </row>
    <row r="69" ht="15" customHeight="1">
      <c r="A69" t="s" s="87">
        <v>105</v>
      </c>
      <c r="B69" s="41"/>
      <c r="C69" s="41"/>
      <c r="D69" s="41"/>
      <c r="E69" s="41"/>
      <c r="F69" s="41"/>
      <c r="G69" s="12"/>
      <c r="H69" s="11"/>
      <c r="I69" s="11"/>
      <c r="J69" s="63"/>
      <c r="K69" s="63"/>
      <c r="L69" s="11"/>
      <c r="M69" s="11"/>
      <c r="N69" s="11"/>
      <c r="O69" s="11"/>
    </row>
    <row r="70" ht="15" customHeight="1">
      <c r="A70" t="s" s="87">
        <v>157</v>
      </c>
      <c r="B70" s="41"/>
      <c r="C70" s="41"/>
      <c r="D70" s="41"/>
      <c r="E70" s="41"/>
      <c r="F70" s="41"/>
      <c r="G70" s="12"/>
      <c r="H70" s="11"/>
      <c r="I70" s="63"/>
      <c r="J70" s="63"/>
      <c r="K70" s="63"/>
      <c r="L70" s="11"/>
      <c r="M70" s="11"/>
      <c r="N70" s="11"/>
      <c r="O70" s="11"/>
    </row>
    <row r="71" ht="15" customHeight="1">
      <c r="A71" t="s" s="87">
        <v>171</v>
      </c>
      <c r="B71" s="41"/>
      <c r="C71" s="41"/>
      <c r="D71" s="41"/>
      <c r="E71" s="41"/>
      <c r="F71" s="41"/>
      <c r="G71" s="12"/>
      <c r="H71" s="11"/>
      <c r="I71" s="11"/>
      <c r="J71" s="63"/>
      <c r="K71" s="63"/>
      <c r="L71" s="11"/>
      <c r="M71" s="11"/>
      <c r="N71" s="11"/>
      <c r="O71" s="11"/>
    </row>
    <row r="72" ht="15" customHeight="1">
      <c r="A72" t="s" s="87">
        <v>160</v>
      </c>
      <c r="B72" s="41"/>
      <c r="C72" s="41"/>
      <c r="D72" s="41"/>
      <c r="E72" s="41"/>
      <c r="F72" s="41"/>
      <c r="G72" s="12"/>
      <c r="H72" s="11"/>
      <c r="I72" s="11"/>
      <c r="J72" s="63"/>
      <c r="K72" s="63"/>
      <c r="L72" s="11"/>
      <c r="M72" s="11"/>
      <c r="N72" s="11"/>
      <c r="O72" s="11"/>
    </row>
    <row r="73" ht="15" customHeight="1">
      <c r="A73" s="37"/>
      <c r="B73" s="41"/>
      <c r="C73" s="41"/>
      <c r="D73" s="41"/>
      <c r="E73" s="41"/>
      <c r="F73" s="41"/>
      <c r="G73" s="13"/>
      <c r="H73" s="13"/>
      <c r="I73" s="13"/>
      <c r="J73" s="13"/>
      <c r="K73" s="13"/>
      <c r="L73" s="13"/>
      <c r="M73" s="13"/>
      <c r="N73" s="11"/>
      <c r="O73" s="11"/>
    </row>
    <row r="74" ht="15" customHeight="1">
      <c r="A74" t="s" s="88">
        <v>108</v>
      </c>
      <c r="B74" t="s" s="14">
        <v>9</v>
      </c>
      <c r="C74" t="s" s="14">
        <v>10</v>
      </c>
      <c r="D74" t="s" s="14">
        <v>11</v>
      </c>
      <c r="E74" t="s" s="14">
        <v>12</v>
      </c>
      <c r="F74" t="s" s="14">
        <v>13</v>
      </c>
      <c r="G74" t="s" s="14">
        <v>14</v>
      </c>
      <c r="H74" t="s" s="14">
        <v>15</v>
      </c>
      <c r="I74" t="s" s="14">
        <v>16</v>
      </c>
      <c r="J74" t="s" s="14">
        <v>17</v>
      </c>
      <c r="K74" t="s" s="14">
        <v>18</v>
      </c>
      <c r="L74" t="s" s="14">
        <v>19</v>
      </c>
      <c r="M74" t="s" s="14">
        <v>20</v>
      </c>
      <c r="N74" s="36"/>
      <c r="O74" s="11"/>
    </row>
    <row r="75" ht="15" customHeight="1">
      <c r="A75" t="s" s="33">
        <v>109</v>
      </c>
      <c r="B75" s="17">
        <v>13</v>
      </c>
      <c r="C75" s="17">
        <v>24</v>
      </c>
      <c r="D75" s="17">
        <v>21</v>
      </c>
      <c r="E75" s="17">
        <v>23</v>
      </c>
      <c r="F75" s="17">
        <v>25</v>
      </c>
      <c r="G75" s="35"/>
      <c r="H75" s="35"/>
      <c r="I75" s="35"/>
      <c r="J75" s="35"/>
      <c r="K75" s="35"/>
      <c r="L75" s="35"/>
      <c r="M75" s="35"/>
      <c r="N75" s="36"/>
      <c r="O75" s="11"/>
    </row>
    <row r="76" ht="15" customHeight="1">
      <c r="A76" t="s" s="33">
        <v>110</v>
      </c>
      <c r="B76" s="17">
        <v>38</v>
      </c>
      <c r="C76" s="17">
        <v>51</v>
      </c>
      <c r="D76" s="17">
        <v>72</v>
      </c>
      <c r="E76" s="17">
        <v>29</v>
      </c>
      <c r="F76" s="17">
        <v>50</v>
      </c>
      <c r="G76" s="35"/>
      <c r="H76" s="35"/>
      <c r="I76" s="35"/>
      <c r="J76" s="35"/>
      <c r="K76" s="35"/>
      <c r="L76" s="35"/>
      <c r="M76" s="35"/>
      <c r="N76" s="36"/>
      <c r="O76" s="11"/>
    </row>
    <row r="77" ht="15" customHeight="1">
      <c r="A77" s="37"/>
      <c r="B77" s="37"/>
      <c r="C77" s="41"/>
      <c r="D77" s="41"/>
      <c r="E77" s="41"/>
      <c r="F77" s="41"/>
      <c r="G77" s="37"/>
      <c r="H77" s="37"/>
      <c r="I77" s="37"/>
      <c r="J77" s="37"/>
      <c r="K77" s="37"/>
      <c r="L77" s="37"/>
      <c r="M77" s="37"/>
      <c r="N77" s="11"/>
      <c r="O77" s="11"/>
    </row>
    <row r="78" ht="15" customHeight="1">
      <c r="A78" t="s" s="32">
        <v>28</v>
      </c>
      <c r="B78" t="s" s="14">
        <v>9</v>
      </c>
      <c r="C78" t="s" s="14">
        <v>10</v>
      </c>
      <c r="D78" t="s" s="14">
        <v>11</v>
      </c>
      <c r="E78" t="s" s="14">
        <v>12</v>
      </c>
      <c r="F78" t="s" s="14">
        <v>13</v>
      </c>
      <c r="G78" t="s" s="14">
        <v>14</v>
      </c>
      <c r="H78" t="s" s="14">
        <v>15</v>
      </c>
      <c r="I78" t="s" s="14">
        <v>16</v>
      </c>
      <c r="J78" t="s" s="14">
        <v>17</v>
      </c>
      <c r="K78" t="s" s="14">
        <v>18</v>
      </c>
      <c r="L78" t="s" s="14">
        <v>19</v>
      </c>
      <c r="M78" t="s" s="14">
        <v>20</v>
      </c>
      <c r="N78" s="36"/>
      <c r="O78" s="11"/>
    </row>
    <row r="79" ht="15" customHeight="1">
      <c r="A79" t="s" s="42">
        <v>45</v>
      </c>
      <c r="B79" s="69" cm="1">
        <f t="array" ref="B79">B62/B33</f>
        <v>0</v>
      </c>
      <c r="C79" s="69" cm="1">
        <f t="array" ref="C79">C62/C33</f>
        <v>0</v>
      </c>
      <c r="D79" s="69" cm="1">
        <f t="array" ref="D79">D62/D33</f>
        <v>0</v>
      </c>
      <c r="E79" s="69" cm="1">
        <f t="array" ref="E79">E62/E33</f>
        <v>0</v>
      </c>
      <c r="F79" s="69" cm="1">
        <f t="array" ref="F79">F62/F33</f>
        <v>0</v>
      </c>
      <c r="G79" s="69" cm="1">
        <f t="array" ref="G79">G62/G33</f>
        <v>0</v>
      </c>
      <c r="H79" s="69" cm="1">
        <f t="array" ref="H79">H62/H33</f>
        <v>0</v>
      </c>
      <c r="I79" s="69" cm="1">
        <f t="array" ref="I79">I62/I33</f>
        <v>0</v>
      </c>
      <c r="J79" s="69" cm="1">
        <f t="array" ref="J79">J62/J33</f>
        <v>0</v>
      </c>
      <c r="K79" s="43" cm="1">
        <f t="array" ref="K79">K62/K33</f>
        <v>0</v>
      </c>
      <c r="L79" s="43" cm="1">
        <f t="array" ref="L79">L62/L33</f>
        <v>0</v>
      </c>
      <c r="M79" s="43" cm="1">
        <f t="array" ref="M79">M62/M33</f>
        <v>0.829577464788732</v>
      </c>
      <c r="N79" s="11"/>
      <c r="O79" s="11"/>
    </row>
    <row r="80" ht="15" customHeight="1">
      <c r="A80" s="11"/>
      <c r="B80" s="11"/>
      <c r="C80" s="12"/>
      <c r="D80" s="12"/>
      <c r="E80" s="12"/>
      <c r="F80" s="12"/>
      <c r="G80" s="11"/>
      <c r="H80" s="11"/>
      <c r="I80" s="11"/>
      <c r="J80" s="11"/>
      <c r="K80" s="11"/>
      <c r="L80" s="11"/>
      <c r="M80" s="11"/>
      <c r="N80" s="11"/>
      <c r="O80" s="11"/>
    </row>
    <row r="81" ht="15" customHeight="1">
      <c r="A81" s="13"/>
      <c r="B81" s="13"/>
      <c r="C81" s="44"/>
      <c r="D81" s="44"/>
      <c r="E81" s="44"/>
      <c r="F81" s="44"/>
      <c r="G81" s="13"/>
      <c r="H81" s="13"/>
      <c r="I81" s="13"/>
      <c r="J81" s="13"/>
      <c r="K81" s="13"/>
      <c r="L81" s="13"/>
      <c r="M81" s="13"/>
      <c r="N81" s="11"/>
      <c r="O81" s="11"/>
    </row>
    <row r="82" ht="15" customHeight="1">
      <c r="A82" t="s" s="32">
        <v>46</v>
      </c>
      <c r="B82" t="s" s="14">
        <v>9</v>
      </c>
      <c r="C82" t="s" s="14">
        <v>10</v>
      </c>
      <c r="D82" t="s" s="14">
        <v>11</v>
      </c>
      <c r="E82" t="s" s="14">
        <v>12</v>
      </c>
      <c r="F82" t="s" s="14">
        <v>13</v>
      </c>
      <c r="G82" t="s" s="14">
        <v>14</v>
      </c>
      <c r="H82" t="s" s="14">
        <v>15</v>
      </c>
      <c r="I82" t="s" s="14">
        <v>16</v>
      </c>
      <c r="J82" t="s" s="14">
        <v>17</v>
      </c>
      <c r="K82" t="s" s="14">
        <v>18</v>
      </c>
      <c r="L82" t="s" s="14">
        <v>19</v>
      </c>
      <c r="M82" t="s" s="14">
        <v>20</v>
      </c>
      <c r="N82" s="36"/>
      <c r="O82" s="11"/>
    </row>
    <row r="83" ht="15" customHeight="1">
      <c r="A83" t="s" s="42">
        <v>47</v>
      </c>
      <c r="B83" s="89"/>
      <c r="C83" s="89"/>
      <c r="D83" s="89"/>
      <c r="E83" s="89"/>
      <c r="F83" s="89"/>
      <c r="G83" s="89"/>
      <c r="H83" s="30"/>
      <c r="I83" s="30"/>
      <c r="J83" s="30"/>
      <c r="K83" s="30"/>
      <c r="L83" s="30"/>
      <c r="M83" s="105">
        <v>131</v>
      </c>
      <c r="N83" s="11"/>
      <c r="O83" s="11"/>
    </row>
    <row r="84" ht="15" customHeight="1">
      <c r="A84" t="s" s="54">
        <v>48</v>
      </c>
      <c r="B84" s="12"/>
      <c r="C84" s="12"/>
      <c r="D84" s="12"/>
      <c r="E84" s="12"/>
      <c r="F84" s="12"/>
      <c r="G84" s="12"/>
      <c r="H84" s="11"/>
      <c r="I84" s="11"/>
      <c r="J84" s="11"/>
      <c r="K84" s="11"/>
      <c r="L84" s="11"/>
      <c r="M84" s="103">
        <v>69</v>
      </c>
      <c r="N84" s="11"/>
      <c r="O84" s="11"/>
    </row>
    <row r="85" ht="15" customHeight="1">
      <c r="A85" t="s" s="54">
        <v>49</v>
      </c>
      <c r="B85" s="12"/>
      <c r="C85" s="12"/>
      <c r="D85" s="12"/>
      <c r="E85" s="12"/>
      <c r="F85" s="12"/>
      <c r="G85" s="12"/>
      <c r="H85" s="11"/>
      <c r="I85" s="11"/>
      <c r="J85" s="11"/>
      <c r="K85" s="11"/>
      <c r="L85" s="11"/>
      <c r="M85" s="103">
        <v>23</v>
      </c>
      <c r="N85" s="11"/>
      <c r="O85" s="11"/>
    </row>
    <row r="86" ht="15" customHeight="1">
      <c r="A86" t="s" s="54">
        <v>50</v>
      </c>
      <c r="B86" s="103">
        <v>29</v>
      </c>
      <c r="C86" s="103">
        <v>32</v>
      </c>
      <c r="D86" s="103">
        <v>38</v>
      </c>
      <c r="E86" s="103">
        <v>39</v>
      </c>
      <c r="F86" s="103">
        <v>39</v>
      </c>
      <c r="G86" s="12"/>
      <c r="H86" s="12"/>
      <c r="I86" s="12"/>
      <c r="J86" s="11"/>
      <c r="K86" s="11"/>
      <c r="L86" s="11"/>
      <c r="M86" s="103">
        <v>35</v>
      </c>
      <c r="N86" s="11"/>
      <c r="O86" s="11"/>
    </row>
    <row r="87" ht="15" customHeight="1">
      <c r="A87" t="s" s="54">
        <v>33</v>
      </c>
      <c r="B87" s="12"/>
      <c r="C87" s="12"/>
      <c r="D87" s="12"/>
      <c r="E87" s="12"/>
      <c r="F87" s="12"/>
      <c r="G87" s="12"/>
      <c r="H87" s="11"/>
      <c r="I87" s="11"/>
      <c r="J87" s="11"/>
      <c r="K87" s="11"/>
      <c r="L87" s="11"/>
      <c r="M87" s="103">
        <v>98</v>
      </c>
      <c r="N87" s="11"/>
      <c r="O87" s="11"/>
    </row>
    <row r="88" ht="15" customHeight="1">
      <c r="A88" t="s" s="54">
        <v>54</v>
      </c>
      <c r="B88" s="12"/>
      <c r="C88" s="12"/>
      <c r="D88" s="12"/>
      <c r="E88" s="12"/>
      <c r="F88" s="12"/>
      <c r="G88" s="12"/>
      <c r="H88" s="11"/>
      <c r="I88" s="11"/>
      <c r="J88" s="11"/>
      <c r="K88" s="11"/>
      <c r="L88" s="11"/>
      <c r="M88" s="103">
        <v>77</v>
      </c>
      <c r="N88" s="11"/>
      <c r="O88" s="11"/>
    </row>
    <row r="89" ht="15" customHeight="1">
      <c r="A89" t="s" s="54">
        <v>89</v>
      </c>
      <c r="B89" s="12"/>
      <c r="C89" s="12"/>
      <c r="D89" s="12"/>
      <c r="E89" s="12"/>
      <c r="F89" s="12"/>
      <c r="G89" s="12"/>
      <c r="H89" s="11"/>
      <c r="I89" s="11"/>
      <c r="J89" s="11"/>
      <c r="K89" s="11"/>
      <c r="L89" s="11"/>
      <c r="M89" t="s" s="114">
        <v>200</v>
      </c>
      <c r="N89" s="11"/>
      <c r="O89" s="11"/>
    </row>
    <row r="90" ht="15" customHeight="1">
      <c r="A90" t="s" s="54">
        <v>51</v>
      </c>
      <c r="B90" s="12"/>
      <c r="C90" s="12"/>
      <c r="D90" s="12"/>
      <c r="E90" s="12"/>
      <c r="F90" s="12"/>
      <c r="G90" s="12"/>
      <c r="H90" s="11"/>
      <c r="I90" s="11"/>
      <c r="J90" s="11"/>
      <c r="K90" s="11"/>
      <c r="L90" s="11"/>
      <c r="M90" s="103" cm="1">
        <f t="array" ref="M90">65+25</f>
        <v>90</v>
      </c>
      <c r="N90" s="11"/>
      <c r="O90" s="11"/>
    </row>
    <row r="91" ht="15" customHeight="1">
      <c r="A91" t="s" s="54">
        <v>41</v>
      </c>
      <c r="B91" s="12"/>
      <c r="C91" s="12"/>
      <c r="D91" s="12"/>
      <c r="E91" s="12"/>
      <c r="F91" s="12"/>
      <c r="G91" s="12"/>
      <c r="H91" s="11"/>
      <c r="I91" s="11"/>
      <c r="J91" s="11"/>
      <c r="K91" s="11"/>
      <c r="L91" s="11"/>
      <c r="M91" s="103">
        <v>15</v>
      </c>
      <c r="N91" s="11"/>
      <c r="O91" s="11"/>
    </row>
    <row r="92" ht="15" customHeight="1">
      <c r="A92" t="s" s="54">
        <v>40</v>
      </c>
      <c r="B92" s="12"/>
      <c r="C92" s="12"/>
      <c r="D92" s="12"/>
      <c r="E92" s="12"/>
      <c r="F92" s="12"/>
      <c r="G92" s="12"/>
      <c r="H92" s="11"/>
      <c r="I92" s="11"/>
      <c r="J92" s="11"/>
      <c r="K92" s="11"/>
      <c r="L92" s="11"/>
      <c r="M92" s="103">
        <v>42</v>
      </c>
      <c r="N92" s="11"/>
      <c r="O92" s="11"/>
    </row>
    <row r="93" ht="15" customHeight="1">
      <c r="A93" t="s" s="54">
        <v>52</v>
      </c>
      <c r="B93" s="12"/>
      <c r="C93" s="12"/>
      <c r="D93" s="12"/>
      <c r="E93" s="12"/>
      <c r="F93" s="12"/>
      <c r="G93" s="12"/>
      <c r="H93" s="11"/>
      <c r="I93" s="11"/>
      <c r="J93" s="11"/>
      <c r="K93" s="11"/>
      <c r="L93" s="11"/>
      <c r="M93" s="103">
        <v>195</v>
      </c>
      <c r="N93" s="11"/>
      <c r="O93" s="11"/>
    </row>
    <row r="94" ht="15" customHeight="1">
      <c r="A94" t="s" s="54">
        <v>170</v>
      </c>
      <c r="B94" s="12"/>
      <c r="C94" s="12"/>
      <c r="D94" s="12"/>
      <c r="E94" s="12"/>
      <c r="F94" s="12"/>
      <c r="G94" s="12"/>
      <c r="H94" s="11"/>
      <c r="I94" s="11"/>
      <c r="J94" s="11"/>
      <c r="K94" s="11"/>
      <c r="L94" s="11"/>
      <c r="M94" s="103">
        <v>47</v>
      </c>
      <c r="N94" s="11"/>
      <c r="O94" s="11"/>
    </row>
    <row r="95" ht="15" customHeight="1">
      <c r="A95" t="s" s="54">
        <v>90</v>
      </c>
      <c r="B95" s="12"/>
      <c r="C95" s="12"/>
      <c r="D95" s="12"/>
      <c r="E95" s="12"/>
      <c r="F95" s="12"/>
      <c r="G95" s="12"/>
      <c r="H95" s="11"/>
      <c r="I95" s="11"/>
      <c r="J95" s="11"/>
      <c r="K95" s="11"/>
      <c r="L95" s="11"/>
      <c r="M95" s="103">
        <v>25</v>
      </c>
      <c r="N95" s="11"/>
      <c r="O95" s="11"/>
    </row>
    <row r="96" ht="15" customHeight="1">
      <c r="A96" t="s" s="54">
        <v>88</v>
      </c>
      <c r="B96" s="12"/>
      <c r="C96" s="12"/>
      <c r="D96" s="12"/>
      <c r="E96" s="12"/>
      <c r="F96" s="12"/>
      <c r="G96" s="12"/>
      <c r="H96" s="11"/>
      <c r="I96" s="11"/>
      <c r="J96" s="11"/>
      <c r="K96" s="11"/>
      <c r="L96" s="11"/>
      <c r="M96" s="103">
        <v>16</v>
      </c>
      <c r="N96" s="63"/>
      <c r="O96" s="11"/>
    </row>
    <row r="97" ht="15" customHeight="1">
      <c r="A97" t="s" s="54">
        <v>111</v>
      </c>
      <c r="B97" s="12"/>
      <c r="C97" s="12"/>
      <c r="D97" s="12"/>
      <c r="E97" s="12"/>
      <c r="F97" s="12"/>
      <c r="G97" s="12"/>
      <c r="H97" s="11"/>
      <c r="I97" s="11"/>
      <c r="J97" s="11"/>
      <c r="K97" s="11"/>
      <c r="L97" s="11"/>
      <c r="M97" s="103">
        <v>21</v>
      </c>
      <c r="N97" s="63"/>
      <c r="O97" s="11"/>
    </row>
    <row r="98" ht="15" customHeight="1">
      <c r="A98" t="s" s="54">
        <v>112</v>
      </c>
      <c r="B98" s="12"/>
      <c r="C98" s="12"/>
      <c r="D98" s="12"/>
      <c r="E98" s="12"/>
      <c r="F98" s="12"/>
      <c r="G98" s="12"/>
      <c r="H98" s="11"/>
      <c r="I98" s="11"/>
      <c r="J98" s="11"/>
      <c r="K98" s="11"/>
      <c r="L98" s="11"/>
      <c r="M98" s="103">
        <v>2</v>
      </c>
      <c r="N98" s="63"/>
      <c r="O98" s="11"/>
    </row>
    <row r="99" ht="15" customHeight="1">
      <c r="A99" t="s" s="54">
        <v>127</v>
      </c>
      <c r="B99" s="12"/>
      <c r="C99" s="12"/>
      <c r="D99" s="12"/>
      <c r="E99" s="12"/>
      <c r="F99" s="12"/>
      <c r="G99" s="12"/>
      <c r="H99" s="11"/>
      <c r="I99" s="11"/>
      <c r="J99" s="11"/>
      <c r="K99" s="11"/>
      <c r="L99" s="11"/>
      <c r="M99" s="103">
        <v>25</v>
      </c>
      <c r="N99" s="11"/>
      <c r="O99" s="11"/>
    </row>
    <row r="100" ht="15" customHeight="1">
      <c r="A100" t="s" s="54">
        <v>125</v>
      </c>
      <c r="B100" s="12"/>
      <c r="C100" s="12"/>
      <c r="D100" s="12"/>
      <c r="E100" s="12"/>
      <c r="F100" s="12"/>
      <c r="G100" s="12"/>
      <c r="H100" s="11"/>
      <c r="I100" s="11"/>
      <c r="J100" s="11"/>
      <c r="K100" s="11"/>
      <c r="L100" s="11"/>
      <c r="M100" s="103">
        <v>24</v>
      </c>
      <c r="N100" s="11"/>
      <c r="O100" s="11"/>
    </row>
    <row r="101" ht="15" customHeight="1">
      <c r="A101" t="s" s="54">
        <v>113</v>
      </c>
      <c r="B101" s="12"/>
      <c r="C101" s="12"/>
      <c r="D101" s="12"/>
      <c r="E101" s="12"/>
      <c r="F101" s="12"/>
      <c r="G101" s="12"/>
      <c r="H101" s="11"/>
      <c r="I101" s="11"/>
      <c r="J101" s="11"/>
      <c r="K101" s="11"/>
      <c r="L101" s="11"/>
      <c r="M101" s="103">
        <v>50</v>
      </c>
      <c r="N101" s="11"/>
      <c r="O101" s="11"/>
    </row>
    <row r="102" ht="15" customHeight="1">
      <c r="A102" t="s" s="54">
        <v>22</v>
      </c>
      <c r="B102" s="103" cm="1">
        <f t="array" ref="B102">SUM(B83:B101)</f>
        <v>29</v>
      </c>
      <c r="C102" s="103" cm="1">
        <f t="array" ref="C102">SUM(C83:C101)</f>
        <v>32</v>
      </c>
      <c r="D102" s="103" cm="1">
        <f t="array" ref="D102">SUM(D83:D101)</f>
        <v>38</v>
      </c>
      <c r="E102" s="103" cm="1">
        <f t="array" ref="E102">SUM(E83:E101)</f>
        <v>39</v>
      </c>
      <c r="F102" s="103" cm="1">
        <f t="array" ref="F102">SUM(F83:F101)</f>
        <v>39</v>
      </c>
      <c r="G102" s="103" cm="1">
        <f t="array" ref="G102">SUM(G83:G101)</f>
        <v>0</v>
      </c>
      <c r="H102" s="55" cm="1">
        <f t="array" ref="H102">SUM(H83:H101)</f>
        <v>0</v>
      </c>
      <c r="I102" s="55" cm="1">
        <f t="array" ref="I102">SUM(I83:I101)</f>
        <v>0</v>
      </c>
      <c r="J102" s="55" cm="1">
        <f t="array" ref="J102">SUM(J83:J101)</f>
        <v>0</v>
      </c>
      <c r="K102" s="55" cm="1">
        <f t="array" ref="K102">SUM(K83:K101)</f>
        <v>0</v>
      </c>
      <c r="L102" s="55" cm="1">
        <f t="array" ref="L102">SUM(L83:L101)</f>
        <v>0</v>
      </c>
      <c r="M102" s="103" cm="1">
        <f t="array" ref="M102">SUM(M83:M101)</f>
        <v>985</v>
      </c>
      <c r="N102" s="11"/>
      <c r="O102" s="11"/>
    </row>
    <row r="103" ht="15" customHeight="1">
      <c r="A103" s="13"/>
      <c r="B103" s="13"/>
      <c r="C103" s="13"/>
      <c r="D103" s="13"/>
      <c r="E103" s="13"/>
      <c r="F103" s="13"/>
      <c r="G103" s="13"/>
      <c r="H103" s="13"/>
      <c r="I103" s="13"/>
      <c r="J103" s="13"/>
      <c r="K103" s="13"/>
      <c r="L103" s="13"/>
      <c r="M103" s="13"/>
      <c r="N103" s="11"/>
      <c r="O103" s="11"/>
    </row>
    <row r="104" ht="15" customHeight="1">
      <c r="A104" t="s" s="32">
        <v>28</v>
      </c>
      <c r="B104" t="s" s="14">
        <v>9</v>
      </c>
      <c r="C104" t="s" s="14">
        <v>10</v>
      </c>
      <c r="D104" t="s" s="14">
        <v>11</v>
      </c>
      <c r="E104" t="s" s="14">
        <v>12</v>
      </c>
      <c r="F104" t="s" s="14">
        <v>13</v>
      </c>
      <c r="G104" t="s" s="14">
        <v>14</v>
      </c>
      <c r="H104" t="s" s="14">
        <v>15</v>
      </c>
      <c r="I104" t="s" s="14">
        <v>16</v>
      </c>
      <c r="J104" t="s" s="14">
        <v>17</v>
      </c>
      <c r="K104" t="s" s="14">
        <v>18</v>
      </c>
      <c r="L104" t="s" s="14">
        <v>19</v>
      </c>
      <c r="M104" t="s" s="14">
        <v>20</v>
      </c>
      <c r="N104" s="36"/>
      <c r="O104" s="11"/>
    </row>
    <row r="105" ht="15" customHeight="1">
      <c r="A105" t="s" s="42">
        <v>56</v>
      </c>
      <c r="B105" s="23" cm="1">
        <f t="array" ref="B105">B11</f>
        <v>301197802</v>
      </c>
      <c r="C105" s="23" cm="1">
        <f t="array" ref="C105">C11</f>
        <v>452220982</v>
      </c>
      <c r="D105" s="23" cm="1">
        <f t="array" ref="D105">D11</f>
        <v>338771530</v>
      </c>
      <c r="E105" s="23" cm="1">
        <f t="array" ref="E105">E11</f>
        <v>445316212</v>
      </c>
      <c r="F105" s="23" cm="1">
        <f t="array" ref="F105">F11</f>
        <v>319598407</v>
      </c>
      <c r="G105" s="23" cm="1">
        <f t="array" ref="G105">G11</f>
        <v>386716241</v>
      </c>
      <c r="H105" s="23" cm="1">
        <f t="array" ref="H105">H11</f>
        <v>437852227</v>
      </c>
      <c r="I105" s="23" cm="1">
        <f t="array" ref="I105">I11</f>
        <v>338563944</v>
      </c>
      <c r="J105" s="23" cm="1">
        <f t="array" ref="J105">J11</f>
        <v>324109258</v>
      </c>
      <c r="K105" s="23" cm="1">
        <f t="array" ref="K105">K11</f>
        <v>424216516.666667</v>
      </c>
      <c r="L105" s="23" cm="1">
        <f t="array" ref="L105">L11</f>
        <v>355106189</v>
      </c>
      <c r="M105" s="23" cm="1">
        <f t="array" ref="M105">M11</f>
        <v>566249803</v>
      </c>
      <c r="N105" s="11"/>
      <c r="O105" s="11"/>
    </row>
    <row r="106" ht="15" customHeight="1">
      <c r="A106" s="11"/>
      <c r="B106" s="11"/>
      <c r="C106" s="11"/>
      <c r="D106" s="11"/>
      <c r="E106" s="11"/>
      <c r="F106" s="11"/>
      <c r="G106" s="11"/>
      <c r="H106" s="11"/>
      <c r="I106" s="11"/>
      <c r="J106" s="11"/>
      <c r="K106" s="11"/>
      <c r="L106" s="11"/>
      <c r="M106" s="11"/>
      <c r="N106" s="11"/>
      <c r="O106" s="11"/>
    </row>
    <row r="107" ht="15" customHeight="1">
      <c r="A107" s="11"/>
      <c r="B107" s="11"/>
      <c r="C107" s="11"/>
      <c r="D107" s="11"/>
      <c r="E107" s="11"/>
      <c r="F107" s="11"/>
      <c r="G107" s="11"/>
      <c r="H107" s="11"/>
      <c r="I107" s="11"/>
      <c r="J107" s="11"/>
      <c r="K107" s="11"/>
      <c r="L107" s="11"/>
      <c r="M107" s="11"/>
      <c r="N107" s="11"/>
      <c r="O107" s="11"/>
    </row>
    <row r="108" ht="15" customHeight="1">
      <c r="A108" s="11"/>
      <c r="B108" s="11"/>
      <c r="C108" s="11"/>
      <c r="D108" s="11"/>
      <c r="E108" s="11"/>
      <c r="F108" s="11"/>
      <c r="G108" s="11"/>
      <c r="H108" s="11"/>
      <c r="I108" s="11"/>
      <c r="J108" s="11"/>
      <c r="K108" s="11"/>
      <c r="L108" s="11"/>
      <c r="M108" s="11"/>
      <c r="N108" s="11"/>
      <c r="O108" s="11"/>
    </row>
    <row r="109" ht="15" customHeight="1">
      <c r="A109" t="s" s="54">
        <v>201</v>
      </c>
      <c r="B109" s="11"/>
      <c r="C109" s="11"/>
      <c r="D109" s="11"/>
      <c r="E109" s="11"/>
      <c r="F109" s="11"/>
      <c r="G109" s="11"/>
      <c r="H109" s="11"/>
      <c r="I109" s="11"/>
      <c r="J109" s="11"/>
      <c r="K109" s="11"/>
      <c r="L109" s="11"/>
      <c r="M109" s="11"/>
      <c r="N109" s="11"/>
      <c r="O109" s="11"/>
    </row>
    <row r="110" ht="15" customHeight="1">
      <c r="A110" s="11"/>
      <c r="B110" s="11"/>
      <c r="C110" s="11"/>
      <c r="D110" s="11"/>
      <c r="E110" s="11"/>
      <c r="F110" s="11"/>
      <c r="G110" s="11"/>
      <c r="H110" s="11"/>
      <c r="I110" s="11"/>
      <c r="J110" s="11"/>
      <c r="K110" s="11"/>
      <c r="L110" t="s" s="114">
        <v>188</v>
      </c>
      <c r="M110" t="s" s="114">
        <v>202</v>
      </c>
      <c r="N110" s="11"/>
      <c r="O110" s="11"/>
    </row>
    <row r="111" ht="15" customHeight="1">
      <c r="A111" t="s" s="54">
        <v>52</v>
      </c>
      <c r="B111" s="11"/>
      <c r="C111" s="11"/>
      <c r="D111" s="11"/>
      <c r="E111" s="11"/>
      <c r="F111" s="11"/>
      <c r="G111" s="11"/>
      <c r="H111" s="11"/>
      <c r="I111" s="11"/>
      <c r="J111" s="11"/>
      <c r="K111" t="s" s="54">
        <v>203</v>
      </c>
      <c r="L111" s="103">
        <v>29</v>
      </c>
      <c r="M111" s="103">
        <v>321</v>
      </c>
      <c r="N111" s="11"/>
      <c r="O111" s="11"/>
    </row>
    <row r="112" ht="15" customHeight="1">
      <c r="A112" s="11"/>
      <c r="B112" s="11"/>
      <c r="C112" s="11"/>
      <c r="D112" s="11"/>
      <c r="E112" s="11"/>
      <c r="F112" s="11"/>
      <c r="G112" s="11"/>
      <c r="H112" s="11"/>
      <c r="I112" s="11"/>
      <c r="J112" s="11"/>
      <c r="K112" t="s" s="54">
        <v>170</v>
      </c>
      <c r="L112" s="103">
        <v>6</v>
      </c>
      <c r="M112" s="103">
        <v>55</v>
      </c>
      <c r="N112" s="11"/>
      <c r="O112" s="11"/>
    </row>
    <row r="113" ht="15" customHeight="1">
      <c r="A113" s="16"/>
      <c r="B113" s="16"/>
      <c r="C113" s="16"/>
      <c r="D113" s="11"/>
      <c r="E113" s="11"/>
      <c r="F113" s="28"/>
      <c r="G113" s="11"/>
      <c r="H113" s="11"/>
      <c r="I113" s="11"/>
      <c r="J113" s="11"/>
      <c r="K113" t="s" s="54">
        <v>151</v>
      </c>
      <c r="L113" s="103">
        <v>13</v>
      </c>
      <c r="M113" s="103" cm="1">
        <f t="array" ref="M113">91*2</f>
        <v>182</v>
      </c>
      <c r="N113" s="11"/>
      <c r="O113" s="11"/>
    </row>
    <row r="114" ht="15" customHeight="1">
      <c r="A114" s="12"/>
      <c r="B114" s="12"/>
      <c r="C114" s="12"/>
      <c r="D114" s="11"/>
      <c r="E114" s="11"/>
      <c r="F114" s="28"/>
      <c r="G114" s="11"/>
      <c r="H114" s="11"/>
      <c r="I114" s="11"/>
      <c r="J114" s="11"/>
      <c r="K114" t="s" s="54">
        <v>204</v>
      </c>
      <c r="L114" s="103">
        <v>5</v>
      </c>
      <c r="M114" s="103">
        <v>52</v>
      </c>
      <c r="N114" s="11"/>
      <c r="O114" s="11"/>
    </row>
    <row r="115" ht="15" customHeight="1">
      <c r="A115" s="12"/>
      <c r="B115" s="12"/>
      <c r="C115" s="12"/>
      <c r="D115" s="11"/>
      <c r="E115" s="11"/>
      <c r="F115" s="28"/>
      <c r="G115" s="11"/>
      <c r="H115" s="11"/>
      <c r="I115" s="11"/>
      <c r="J115" s="11"/>
      <c r="K115" t="s" s="54">
        <v>190</v>
      </c>
      <c r="L115" s="103">
        <v>5</v>
      </c>
      <c r="M115" s="103">
        <v>107</v>
      </c>
      <c r="N115" s="11"/>
      <c r="O115" s="11"/>
    </row>
    <row r="116" ht="15" customHeight="1">
      <c r="A116" s="12"/>
      <c r="B116" s="12"/>
      <c r="C116" s="12"/>
      <c r="D116" s="11"/>
      <c r="E116" s="11"/>
      <c r="F116" s="28"/>
      <c r="G116" s="11"/>
      <c r="H116" s="11"/>
      <c r="I116" s="11"/>
      <c r="J116" s="11"/>
      <c r="K116" t="s" s="54">
        <v>205</v>
      </c>
      <c r="L116" s="103">
        <v>6</v>
      </c>
      <c r="M116" s="103">
        <v>181</v>
      </c>
      <c r="N116" s="11"/>
      <c r="O116" s="11"/>
    </row>
    <row r="117" ht="15" customHeight="1">
      <c r="A117" s="12"/>
      <c r="B117" s="12"/>
      <c r="C117" s="12"/>
      <c r="D117" s="11"/>
      <c r="E117" s="11"/>
      <c r="F117" s="28"/>
      <c r="G117" s="11"/>
      <c r="H117" s="11"/>
      <c r="I117" s="11"/>
      <c r="J117" s="11"/>
      <c r="K117" t="s" s="54">
        <v>206</v>
      </c>
      <c r="L117" s="103">
        <v>21</v>
      </c>
      <c r="M117" s="103" cm="1">
        <f t="array" ref="M117">49+126</f>
        <v>175</v>
      </c>
      <c r="N117" s="11"/>
      <c r="O117" s="11"/>
    </row>
    <row r="118" ht="15" customHeight="1">
      <c r="A118" s="12"/>
      <c r="B118" s="12"/>
      <c r="C118" s="12"/>
      <c r="D118" s="11"/>
      <c r="E118" s="11"/>
      <c r="F118" s="28"/>
      <c r="G118" s="11"/>
      <c r="H118" s="11"/>
      <c r="I118" s="11"/>
      <c r="J118" s="11"/>
      <c r="K118" t="s" s="54">
        <v>134</v>
      </c>
      <c r="L118" s="103">
        <v>4</v>
      </c>
      <c r="M118" s="103">
        <v>133</v>
      </c>
      <c r="N118" s="11"/>
      <c r="O118" s="11"/>
    </row>
    <row r="119" ht="15" customHeight="1">
      <c r="A119" s="12"/>
      <c r="B119" s="12"/>
      <c r="C119" s="12"/>
      <c r="D119" s="11"/>
      <c r="E119" s="11"/>
      <c r="F119" s="11"/>
      <c r="G119" s="11"/>
      <c r="H119" s="11"/>
      <c r="I119" s="11"/>
      <c r="J119" s="11"/>
      <c r="K119" t="s" s="54">
        <v>207</v>
      </c>
      <c r="L119" s="103">
        <v>13</v>
      </c>
      <c r="M119" s="103">
        <v>1257</v>
      </c>
      <c r="N119" s="11"/>
      <c r="O119" s="11"/>
    </row>
    <row r="120" ht="15" customHeight="1">
      <c r="A120" s="12"/>
      <c r="B120" s="12"/>
      <c r="C120" s="12"/>
      <c r="D120" s="11"/>
      <c r="E120" s="11"/>
      <c r="F120" s="11"/>
      <c r="G120" s="11"/>
      <c r="H120" s="11"/>
      <c r="I120" s="11"/>
      <c r="J120" s="11"/>
      <c r="K120" s="11"/>
      <c r="L120" s="11"/>
      <c r="M120" s="11"/>
      <c r="N120" s="11"/>
      <c r="O120" s="11"/>
    </row>
    <row r="121" ht="15" customHeight="1">
      <c r="A121" s="11"/>
      <c r="B121" s="11"/>
      <c r="C121" s="11"/>
      <c r="D121" s="11"/>
      <c r="E121" s="11"/>
      <c r="F121" s="28"/>
      <c r="G121" s="11"/>
      <c r="H121" s="11"/>
      <c r="I121" s="11"/>
      <c r="J121" s="11"/>
      <c r="K121" s="11"/>
      <c r="L121" s="11"/>
      <c r="M121" s="11"/>
      <c r="N121" s="11"/>
      <c r="O121" s="11"/>
    </row>
    <row r="122" ht="15" customHeight="1">
      <c r="A122" s="16"/>
      <c r="B122" s="16"/>
      <c r="C122" s="16"/>
      <c r="D122" s="11"/>
      <c r="E122" s="11"/>
      <c r="F122" s="11"/>
      <c r="G122" s="11"/>
      <c r="H122" s="11"/>
      <c r="I122" s="11"/>
      <c r="J122" s="11"/>
      <c r="K122" s="11"/>
      <c r="L122" s="11"/>
      <c r="M122" s="11"/>
      <c r="N122" s="11"/>
      <c r="O122" s="11"/>
    </row>
    <row r="123" ht="15" customHeight="1">
      <c r="A123" s="12"/>
      <c r="B123" s="12"/>
      <c r="C123" s="113"/>
      <c r="D123" s="11"/>
      <c r="E123" s="11"/>
      <c r="F123" s="11"/>
      <c r="G123" s="11"/>
      <c r="H123" s="11"/>
      <c r="I123" s="11"/>
      <c r="J123" s="11"/>
      <c r="K123" s="11"/>
      <c r="L123" s="11"/>
      <c r="M123" s="11"/>
      <c r="N123" s="11"/>
      <c r="O123" s="11"/>
    </row>
    <row r="124" ht="15" customHeight="1">
      <c r="A124" s="12"/>
      <c r="B124" s="12"/>
      <c r="C124" s="113"/>
      <c r="D124" s="11"/>
      <c r="E124" s="11"/>
      <c r="F124" s="11"/>
      <c r="G124" s="11"/>
      <c r="H124" s="11"/>
      <c r="I124" s="11"/>
      <c r="J124" s="11"/>
      <c r="K124" s="11"/>
      <c r="L124" s="11"/>
      <c r="M124" s="11"/>
      <c r="N124" s="11"/>
      <c r="O124" s="11"/>
    </row>
    <row r="125" ht="15" customHeight="1">
      <c r="A125" s="11"/>
      <c r="B125" s="12"/>
      <c r="C125" s="11"/>
      <c r="D125" s="11"/>
      <c r="E125" s="11"/>
      <c r="F125" s="11"/>
      <c r="G125" s="11"/>
      <c r="H125" s="11"/>
      <c r="I125" s="11"/>
      <c r="J125" s="11"/>
      <c r="K125" s="11"/>
      <c r="L125" s="11"/>
      <c r="M125" s="11"/>
      <c r="N125" s="11"/>
      <c r="O125" s="11"/>
    </row>
    <row r="126" ht="15" customHeight="1">
      <c r="A126" s="11"/>
      <c r="B126" s="11"/>
      <c r="C126" s="11"/>
      <c r="D126" s="11"/>
      <c r="E126" s="11"/>
      <c r="F126" s="11"/>
      <c r="G126" s="11"/>
      <c r="H126" s="11"/>
      <c r="I126" s="11"/>
      <c r="J126" s="11"/>
      <c r="K126" s="11"/>
      <c r="L126" s="11"/>
      <c r="M126" s="11"/>
      <c r="N126" s="11"/>
      <c r="O126" s="11"/>
    </row>
    <row r="127" ht="15" customHeight="1">
      <c r="A127" s="16"/>
      <c r="B127" s="16"/>
      <c r="C127" s="16"/>
      <c r="D127" s="11"/>
      <c r="E127" s="11"/>
      <c r="F127" s="11"/>
      <c r="G127" s="11"/>
      <c r="H127" s="11"/>
      <c r="I127" s="11"/>
      <c r="J127" s="11"/>
      <c r="K127" s="11"/>
      <c r="L127" s="11"/>
      <c r="M127" s="11"/>
      <c r="N127" s="11"/>
      <c r="O127" s="11"/>
    </row>
    <row r="128" ht="15" customHeight="1">
      <c r="A128" s="12"/>
      <c r="B128" s="12"/>
      <c r="C128" s="113"/>
      <c r="D128" s="11"/>
      <c r="E128" s="11"/>
      <c r="F128" s="11"/>
      <c r="G128" s="11"/>
      <c r="H128" s="11"/>
      <c r="I128" s="11"/>
      <c r="J128" s="11"/>
      <c r="K128" s="11"/>
      <c r="L128" s="11"/>
      <c r="M128" s="11"/>
      <c r="N128" s="11"/>
      <c r="O128" s="11"/>
    </row>
    <row r="129" ht="15" customHeight="1">
      <c r="A129" s="12"/>
      <c r="B129" s="12"/>
      <c r="C129" s="113"/>
      <c r="D129" s="11"/>
      <c r="E129" s="11"/>
      <c r="F129" s="11"/>
      <c r="G129" s="11"/>
      <c r="H129" s="11"/>
      <c r="I129" s="11"/>
      <c r="J129" s="11"/>
      <c r="K129" s="11"/>
      <c r="L129" s="11"/>
      <c r="M129" s="11"/>
      <c r="N129" s="11"/>
      <c r="O129" s="11"/>
    </row>
    <row r="130" ht="15" customHeight="1">
      <c r="A130" s="12"/>
      <c r="B130" s="12"/>
      <c r="C130" s="11"/>
      <c r="D130" s="11"/>
      <c r="E130" s="11"/>
      <c r="F130" s="11"/>
      <c r="G130" s="11"/>
      <c r="H130" s="11"/>
      <c r="I130" s="11"/>
      <c r="J130" s="11"/>
      <c r="K130" s="11"/>
      <c r="L130" s="11"/>
      <c r="M130" s="11"/>
      <c r="N130" s="11"/>
      <c r="O130" s="11"/>
    </row>
    <row r="131" ht="15" customHeight="1">
      <c r="A131" s="11"/>
      <c r="B131" s="11"/>
      <c r="C131" s="11"/>
      <c r="D131" s="11"/>
      <c r="E131" s="11"/>
      <c r="F131" s="11"/>
      <c r="G131" s="11"/>
      <c r="H131" s="11"/>
      <c r="I131" s="11"/>
      <c r="J131" s="11"/>
      <c r="K131" s="11"/>
      <c r="L131" s="11"/>
      <c r="M131" s="11"/>
      <c r="N131" s="11"/>
      <c r="O131" s="11"/>
    </row>
    <row r="132" ht="15" customHeight="1">
      <c r="A132" s="16"/>
      <c r="B132" s="16"/>
      <c r="C132" s="16"/>
      <c r="D132" s="11"/>
      <c r="E132" s="11"/>
      <c r="F132" s="11"/>
      <c r="G132" s="11"/>
      <c r="H132" s="11"/>
      <c r="I132" s="11"/>
      <c r="J132" s="11"/>
      <c r="K132" s="11"/>
      <c r="L132" s="11"/>
      <c r="M132" s="11"/>
      <c r="N132" s="11"/>
      <c r="O132" s="11"/>
    </row>
    <row r="133" ht="15" customHeight="1">
      <c r="A133" s="12"/>
      <c r="B133" s="12"/>
      <c r="C133" s="113"/>
      <c r="D133" s="11"/>
      <c r="E133" s="11"/>
      <c r="F133" s="11"/>
      <c r="G133" s="11"/>
      <c r="H133" s="11"/>
      <c r="I133" s="11"/>
      <c r="J133" s="11"/>
      <c r="K133" s="11"/>
      <c r="L133" s="11"/>
      <c r="M133" s="11"/>
      <c r="N133" s="11"/>
      <c r="O133" s="11"/>
    </row>
    <row r="134" ht="15" customHeight="1">
      <c r="A134" s="12"/>
      <c r="B134" s="12"/>
      <c r="C134" s="113"/>
      <c r="D134" s="11"/>
      <c r="E134" s="11"/>
      <c r="F134" s="11"/>
      <c r="G134" s="11"/>
      <c r="H134" s="11"/>
      <c r="I134" s="11"/>
      <c r="J134" s="11"/>
      <c r="K134" s="11"/>
      <c r="L134" s="11"/>
      <c r="M134" s="11"/>
      <c r="N134" s="11"/>
      <c r="O134" s="11"/>
    </row>
    <row r="135" ht="15" customHeight="1">
      <c r="A135" s="12"/>
      <c r="B135" s="12"/>
      <c r="C135" s="113"/>
      <c r="D135" s="11"/>
      <c r="E135" s="11"/>
      <c r="F135" s="11"/>
      <c r="G135" s="11"/>
      <c r="H135" s="11"/>
      <c r="I135" s="11"/>
      <c r="J135" s="11"/>
      <c r="K135" s="11"/>
      <c r="L135" s="11"/>
      <c r="M135" s="11"/>
      <c r="N135" s="11"/>
      <c r="O135" s="11"/>
    </row>
    <row r="136" ht="15" customHeight="1">
      <c r="A136" s="12"/>
      <c r="B136" s="12"/>
      <c r="C136" s="113"/>
      <c r="D136" s="11"/>
      <c r="E136" s="11"/>
      <c r="F136" s="11"/>
      <c r="G136" s="11"/>
      <c r="H136" s="11"/>
      <c r="I136" s="11"/>
      <c r="J136" s="11"/>
      <c r="K136" s="11"/>
      <c r="L136" s="11"/>
      <c r="M136" s="11"/>
      <c r="N136" s="11"/>
      <c r="O136" s="11"/>
    </row>
    <row r="137" ht="15" customHeight="1">
      <c r="A137" s="12"/>
      <c r="B137" s="12"/>
      <c r="C137" s="113"/>
      <c r="D137" s="11"/>
      <c r="E137" s="11"/>
      <c r="F137" s="11"/>
      <c r="G137" s="11"/>
      <c r="H137" s="11"/>
      <c r="I137" s="11"/>
      <c r="J137" s="11"/>
      <c r="K137" s="11"/>
      <c r="L137" s="11"/>
      <c r="M137" s="11"/>
      <c r="N137" s="11"/>
      <c r="O137" s="11"/>
    </row>
    <row r="138" ht="15" customHeight="1">
      <c r="A138" s="12"/>
      <c r="B138" s="12"/>
      <c r="C138" s="113"/>
      <c r="D138" s="11"/>
      <c r="E138" s="11"/>
      <c r="F138" s="11"/>
      <c r="G138" s="11"/>
      <c r="H138" s="11"/>
      <c r="I138" s="11"/>
      <c r="J138" s="11"/>
      <c r="K138" s="11"/>
      <c r="L138" s="11"/>
      <c r="M138" s="11"/>
      <c r="N138" s="11"/>
      <c r="O138" s="11"/>
    </row>
    <row r="139" ht="15" customHeight="1">
      <c r="A139" s="12"/>
      <c r="B139" s="12"/>
      <c r="C139" s="12"/>
      <c r="D139" s="11"/>
      <c r="E139" s="11"/>
      <c r="F139" s="11"/>
      <c r="G139" s="11"/>
      <c r="H139" s="11"/>
      <c r="I139" s="11"/>
      <c r="J139" s="11"/>
      <c r="K139" s="11"/>
      <c r="L139" s="11"/>
      <c r="M139" s="11"/>
      <c r="N139" s="11"/>
      <c r="O139" s="11"/>
    </row>
    <row r="140" ht="15" customHeight="1">
      <c r="A140" s="12"/>
      <c r="B140" s="11"/>
      <c r="C140" s="11"/>
      <c r="D140" s="11"/>
      <c r="E140" s="11"/>
      <c r="F140" s="11"/>
      <c r="G140" s="11"/>
      <c r="H140" s="11"/>
      <c r="I140" s="11"/>
      <c r="J140" s="11"/>
      <c r="K140" s="11"/>
      <c r="L140" s="11"/>
      <c r="M140" s="11"/>
      <c r="N140" s="11"/>
      <c r="O140" s="11"/>
    </row>
    <row r="141" ht="15" customHeight="1">
      <c r="A141" s="11"/>
      <c r="B141" s="11"/>
      <c r="C141" s="11"/>
      <c r="D141" s="11"/>
      <c r="E141" s="11"/>
      <c r="F141" s="11"/>
      <c r="G141" s="11"/>
      <c r="H141" s="11"/>
      <c r="I141" s="11"/>
      <c r="J141" s="11"/>
      <c r="K141" s="11"/>
      <c r="L141" s="11"/>
      <c r="M141" s="11"/>
      <c r="N141" s="11"/>
      <c r="O141" s="11"/>
    </row>
    <row r="142" ht="15" customHeight="1">
      <c r="A142" s="16"/>
      <c r="B142" s="16"/>
      <c r="C142" s="16"/>
      <c r="D142" s="11"/>
      <c r="E142" s="11"/>
      <c r="F142" s="11"/>
      <c r="G142" s="11"/>
      <c r="H142" s="11"/>
      <c r="I142" s="11"/>
      <c r="J142" s="11"/>
      <c r="K142" s="11"/>
      <c r="L142" s="11"/>
      <c r="M142" s="11"/>
      <c r="N142" s="11"/>
      <c r="O142" s="11"/>
    </row>
    <row r="143" ht="15" customHeight="1">
      <c r="A143" s="12"/>
      <c r="B143" s="12"/>
      <c r="C143" s="113"/>
      <c r="D143" s="11"/>
      <c r="E143" s="11"/>
      <c r="F143" s="11"/>
      <c r="G143" s="11"/>
      <c r="H143" s="11"/>
      <c r="I143" s="11"/>
      <c r="J143" s="11"/>
      <c r="K143" s="11"/>
      <c r="L143" s="11"/>
      <c r="M143" s="11"/>
      <c r="N143" s="11"/>
      <c r="O143" s="11"/>
    </row>
    <row r="144" ht="15" customHeight="1">
      <c r="A144" s="12"/>
      <c r="B144" s="12"/>
      <c r="C144" s="113"/>
      <c r="D144" s="11"/>
      <c r="E144" s="11"/>
      <c r="F144" s="11"/>
      <c r="G144" s="11"/>
      <c r="H144" s="11"/>
      <c r="I144" s="11"/>
      <c r="J144" s="11"/>
      <c r="K144" s="11"/>
      <c r="L144" s="11"/>
      <c r="M144" s="11"/>
      <c r="N144" s="11"/>
      <c r="O144" s="11"/>
    </row>
    <row r="145" ht="15" customHeight="1">
      <c r="A145" s="12"/>
      <c r="B145" s="12"/>
      <c r="C145" s="113"/>
      <c r="D145" s="11"/>
      <c r="E145" s="11"/>
      <c r="F145" s="11"/>
      <c r="G145" s="11"/>
      <c r="H145" s="11"/>
      <c r="I145" s="11"/>
      <c r="J145" s="11"/>
      <c r="K145" s="11"/>
      <c r="L145" s="11"/>
      <c r="M145" s="11"/>
      <c r="N145" s="11"/>
      <c r="O145" s="11"/>
    </row>
    <row r="146" ht="15" customHeight="1">
      <c r="A146" s="12"/>
      <c r="B146" s="12"/>
      <c r="C146" s="113"/>
      <c r="D146" s="11"/>
      <c r="E146" s="11"/>
      <c r="F146" s="11"/>
      <c r="G146" s="11"/>
      <c r="H146" s="11"/>
      <c r="I146" s="11"/>
      <c r="J146" s="11"/>
      <c r="K146" s="11"/>
      <c r="L146" s="11"/>
      <c r="M146" s="11"/>
      <c r="N146" s="11"/>
      <c r="O146" s="11"/>
    </row>
    <row r="147" ht="15" customHeight="1">
      <c r="A147" s="12"/>
      <c r="B147" s="12"/>
      <c r="C147" s="113"/>
      <c r="D147" s="11"/>
      <c r="E147" s="11"/>
      <c r="F147" s="11"/>
      <c r="G147" s="11"/>
      <c r="H147" s="11"/>
      <c r="I147" s="11"/>
      <c r="J147" s="11"/>
      <c r="K147" s="11"/>
      <c r="L147" s="11"/>
      <c r="M147" s="11"/>
      <c r="N147" s="11"/>
      <c r="O147" s="11"/>
    </row>
    <row r="148" ht="15" customHeight="1">
      <c r="A148" s="12"/>
      <c r="B148" s="12"/>
      <c r="C148" s="113"/>
      <c r="D148" s="11"/>
      <c r="E148" s="11"/>
      <c r="F148" s="11"/>
      <c r="G148" s="11"/>
      <c r="H148" s="11"/>
      <c r="I148" s="11"/>
      <c r="J148" s="11"/>
      <c r="K148" s="11"/>
      <c r="L148" s="11"/>
      <c r="M148" s="11"/>
      <c r="N148" s="11"/>
      <c r="O148" s="11"/>
    </row>
    <row r="149" ht="15" customHeight="1">
      <c r="A149" s="12"/>
      <c r="B149" s="12"/>
      <c r="C149" s="113"/>
      <c r="D149" s="11"/>
      <c r="E149" s="11"/>
      <c r="F149" s="11"/>
      <c r="G149" s="11"/>
      <c r="H149" s="11"/>
      <c r="I149" s="11"/>
      <c r="J149" s="11"/>
      <c r="K149" s="11"/>
      <c r="L149" s="11"/>
      <c r="M149" s="11"/>
      <c r="N149" s="11"/>
      <c r="O149" s="11"/>
    </row>
    <row r="150" ht="15" customHeight="1">
      <c r="A150" s="12"/>
      <c r="B150" s="12"/>
      <c r="C150" s="113"/>
      <c r="D150" s="11"/>
      <c r="E150" s="11"/>
      <c r="F150" s="11"/>
      <c r="G150" s="11"/>
      <c r="H150" s="11"/>
      <c r="I150" s="11"/>
      <c r="J150" s="11"/>
      <c r="K150" s="11"/>
      <c r="L150" s="11"/>
      <c r="M150" s="11"/>
      <c r="N150" s="11"/>
      <c r="O150" s="11"/>
    </row>
    <row r="151" ht="15" customHeight="1">
      <c r="A151" s="12"/>
      <c r="B151" s="12"/>
      <c r="C151" s="12"/>
      <c r="D151" s="11"/>
      <c r="E151" s="11"/>
      <c r="F151" s="11"/>
      <c r="G151" s="11"/>
      <c r="H151" s="11"/>
      <c r="I151" s="11"/>
      <c r="J151" s="11"/>
      <c r="K151" s="11"/>
      <c r="L151" s="11"/>
      <c r="M151" s="11"/>
      <c r="N151" s="11"/>
      <c r="O151" s="11"/>
    </row>
    <row r="152" ht="15" customHeight="1">
      <c r="A152" s="11"/>
      <c r="B152" s="11"/>
      <c r="C152" s="11"/>
      <c r="D152" s="11"/>
      <c r="E152" s="11"/>
      <c r="F152" s="11"/>
      <c r="G152" s="11"/>
      <c r="H152" s="11"/>
      <c r="I152" s="11"/>
      <c r="J152" s="11"/>
      <c r="K152" s="11"/>
      <c r="L152" s="11"/>
      <c r="M152" s="11"/>
      <c r="N152" s="11"/>
      <c r="O152" s="11"/>
    </row>
    <row r="153" ht="15" customHeight="1">
      <c r="A153" s="11"/>
      <c r="B153" s="11"/>
      <c r="C153" s="11"/>
      <c r="D153" s="11"/>
      <c r="E153" s="11"/>
      <c r="F153" s="11"/>
      <c r="G153" s="11"/>
      <c r="H153" s="11"/>
      <c r="I153" s="11"/>
      <c r="J153" s="11"/>
      <c r="K153" s="11"/>
      <c r="L153" s="11"/>
      <c r="M153" s="11"/>
      <c r="N153" s="11"/>
      <c r="O153" s="11"/>
    </row>
    <row r="154" ht="15" customHeight="1">
      <c r="A154" s="11"/>
      <c r="B154" s="11"/>
      <c r="C154" s="11"/>
      <c r="D154" s="11"/>
      <c r="E154" s="11"/>
      <c r="F154" s="11"/>
      <c r="G154" s="11"/>
      <c r="H154" s="11"/>
      <c r="I154" s="11"/>
      <c r="J154" s="11"/>
      <c r="K154" s="11"/>
      <c r="L154" s="11"/>
      <c r="M154" s="11"/>
      <c r="N154" s="11"/>
      <c r="O154" s="11"/>
    </row>
    <row r="155" ht="15" customHeight="1">
      <c r="A155" s="11"/>
      <c r="B155" s="11"/>
      <c r="C155" s="11"/>
      <c r="D155" s="11"/>
      <c r="E155" s="11"/>
      <c r="F155" s="11"/>
      <c r="G155" s="11"/>
      <c r="H155" s="11"/>
      <c r="I155" s="11"/>
      <c r="J155" s="11"/>
      <c r="K155" s="11"/>
      <c r="L155" s="11"/>
      <c r="M155" s="11"/>
      <c r="N155" s="11"/>
      <c r="O155" s="11"/>
    </row>
    <row r="156" ht="15" customHeight="1">
      <c r="A156" s="11"/>
      <c r="B156" s="11"/>
      <c r="C156" s="11"/>
      <c r="D156" s="11"/>
      <c r="E156" s="11"/>
      <c r="F156" s="11"/>
      <c r="G156" s="11"/>
      <c r="H156" s="11"/>
      <c r="I156" s="11"/>
      <c r="J156" s="11"/>
      <c r="K156" s="11"/>
      <c r="L156" s="11"/>
      <c r="M156" s="11"/>
      <c r="N156" s="11"/>
      <c r="O156" s="11"/>
    </row>
    <row r="157" ht="15" customHeight="1">
      <c r="A157" s="11"/>
      <c r="B157" s="11"/>
      <c r="C157" s="11"/>
      <c r="D157" s="11"/>
      <c r="E157" s="11"/>
      <c r="F157" s="11"/>
      <c r="G157" s="11"/>
      <c r="H157" s="11"/>
      <c r="I157" s="11"/>
      <c r="J157" s="11"/>
      <c r="K157" s="11"/>
      <c r="L157" s="11"/>
      <c r="M157" s="11"/>
      <c r="N157" s="11"/>
      <c r="O157" s="11"/>
    </row>
    <row r="158" ht="15" customHeight="1">
      <c r="A158" s="11"/>
      <c r="B158" s="11"/>
      <c r="C158" s="11"/>
      <c r="D158" s="11"/>
      <c r="E158" s="11"/>
      <c r="F158" s="11"/>
      <c r="G158" s="11"/>
      <c r="H158" s="11"/>
      <c r="I158" s="11"/>
      <c r="J158" s="11"/>
      <c r="K158" s="11"/>
      <c r="L158" s="11"/>
      <c r="M158" s="11"/>
      <c r="N158" s="11"/>
      <c r="O158" s="11"/>
    </row>
    <row r="159" ht="15" customHeight="1">
      <c r="A159" s="11"/>
      <c r="B159" s="11"/>
      <c r="C159" s="11"/>
      <c r="D159" s="11"/>
      <c r="E159" s="11"/>
      <c r="F159" s="11"/>
      <c r="G159" s="11"/>
      <c r="H159" s="11"/>
      <c r="I159" s="11"/>
      <c r="J159" s="11"/>
      <c r="K159" s="11"/>
      <c r="L159" s="11"/>
      <c r="M159" s="11"/>
      <c r="N159" s="11"/>
      <c r="O159" s="11"/>
    </row>
    <row r="160" ht="15" customHeight="1">
      <c r="A160" s="11"/>
      <c r="B160" s="11"/>
      <c r="C160" s="11"/>
      <c r="D160" s="11"/>
      <c r="E160" s="11"/>
      <c r="F160" s="11"/>
      <c r="G160" s="11"/>
      <c r="H160" s="11"/>
      <c r="I160" s="11"/>
      <c r="J160" s="11"/>
      <c r="K160" s="11"/>
      <c r="L160" s="11"/>
      <c r="M160" s="11"/>
      <c r="N160" s="11"/>
      <c r="O160" s="11"/>
    </row>
  </sheetData>
  <mergeCells count="4">
    <mergeCell ref="A1:M1"/>
    <mergeCell ref="A2:M2"/>
    <mergeCell ref="A28:M28"/>
    <mergeCell ref="A29:M29"/>
  </mergeCells>
  <pageMargins left="0.75" right="0.75" top="1" bottom="1" header="0.5" footer="0.5"/>
  <pageSetup firstPageNumber="1" fitToHeight="1" fitToWidth="1" scale="100" useFirstPageNumber="0" orientation="portrait" pageOrder="downThenOver"/>
  <headerFooter>
    <oddFooter>&amp;C&amp;"Helvetica,Regular"&amp;12&amp;K000000&amp;P</oddFooter>
  </headerFooter>
</worksheet>
</file>

<file path=xl/worksheets/sheet11.xml><?xml version="1.0" encoding="utf-8"?>
<worksheet xmlns:r="http://schemas.openxmlformats.org/officeDocument/2006/relationships" xmlns="http://schemas.openxmlformats.org/spreadsheetml/2006/main">
  <dimension ref="A1:O160"/>
  <sheetViews>
    <sheetView workbookViewId="0" showGridLines="0" defaultGridColor="1"/>
  </sheetViews>
  <sheetFormatPr defaultColWidth="12.5" defaultRowHeight="15" customHeight="1" outlineLevelRow="0" outlineLevelCol="0"/>
  <cols>
    <col min="1" max="1" width="28.6875" style="156" customWidth="1"/>
    <col min="2" max="2" width="15.1719" style="156" customWidth="1"/>
    <col min="3" max="3" width="14.6719" style="156" customWidth="1"/>
    <col min="4" max="4" width="17.3516" style="156" customWidth="1"/>
    <col min="5" max="5" width="15" style="156" customWidth="1"/>
    <col min="6" max="6" width="17.1094" style="156" customWidth="1"/>
    <col min="7" max="7" width="16.7109" style="156" customWidth="1"/>
    <col min="8" max="12" width="16.5" style="156" customWidth="1"/>
    <col min="13" max="13" width="19" style="156" customWidth="1"/>
    <col min="14" max="15" width="15.9375" style="156" customWidth="1"/>
    <col min="16" max="16384" width="12.5" style="156" customWidth="1"/>
  </cols>
  <sheetData>
    <row r="1" ht="23" customHeight="1">
      <c r="A1" t="s" s="7">
        <v>6</v>
      </c>
      <c r="B1" s="8"/>
      <c r="C1" s="8"/>
      <c r="D1" s="9"/>
      <c r="E1" s="9"/>
      <c r="F1" s="9"/>
      <c r="G1" s="9"/>
      <c r="H1" s="9"/>
      <c r="I1" s="9"/>
      <c r="J1" s="9"/>
      <c r="K1" s="9"/>
      <c r="L1" s="9"/>
      <c r="M1" s="9"/>
      <c r="N1" s="10"/>
      <c r="O1" s="10"/>
    </row>
    <row r="2" ht="23" customHeight="1">
      <c r="A2" t="s" s="7">
        <v>209</v>
      </c>
      <c r="B2" s="8"/>
      <c r="C2" s="8"/>
      <c r="D2" s="12"/>
      <c r="E2" s="12"/>
      <c r="F2" s="12"/>
      <c r="G2" s="12"/>
      <c r="H2" s="12"/>
      <c r="I2" s="12"/>
      <c r="J2" s="12"/>
      <c r="K2" s="12"/>
      <c r="L2" s="12"/>
      <c r="M2" s="12"/>
      <c r="N2" s="10"/>
      <c r="O2" s="10"/>
    </row>
    <row r="3" ht="15" customHeight="1">
      <c r="A3" s="13"/>
      <c r="B3" s="13"/>
      <c r="C3" s="13"/>
      <c r="D3" s="13"/>
      <c r="E3" s="13"/>
      <c r="F3" s="13"/>
      <c r="G3" s="13"/>
      <c r="H3" s="13"/>
      <c r="I3" s="13"/>
      <c r="J3" s="13"/>
      <c r="K3" s="13"/>
      <c r="L3" s="13"/>
      <c r="M3" s="13"/>
      <c r="N3" s="72"/>
      <c r="O3" s="72"/>
    </row>
    <row r="4" ht="15" customHeight="1">
      <c r="A4" t="s" s="14">
        <v>8</v>
      </c>
      <c r="B4" t="s" s="14">
        <v>9</v>
      </c>
      <c r="C4" t="s" s="14">
        <v>10</v>
      </c>
      <c r="D4" t="s" s="14">
        <v>11</v>
      </c>
      <c r="E4" t="s" s="14">
        <v>12</v>
      </c>
      <c r="F4" t="s" s="14">
        <v>13</v>
      </c>
      <c r="G4" t="s" s="14">
        <v>14</v>
      </c>
      <c r="H4" t="s" s="14">
        <v>15</v>
      </c>
      <c r="I4" t="s" s="14">
        <v>16</v>
      </c>
      <c r="J4" t="s" s="14">
        <v>17</v>
      </c>
      <c r="K4" t="s" s="14">
        <v>18</v>
      </c>
      <c r="L4" t="s" s="14">
        <v>19</v>
      </c>
      <c r="M4" t="s" s="14">
        <v>20</v>
      </c>
      <c r="N4" t="s" s="73">
        <v>210</v>
      </c>
      <c r="O4" s="91"/>
    </row>
    <row r="5" ht="15" customHeight="1">
      <c r="A5" s="17">
        <v>1</v>
      </c>
      <c r="B5" s="129">
        <v>80025736</v>
      </c>
      <c r="C5" s="129">
        <v>111257376</v>
      </c>
      <c r="D5" s="138">
        <v>93841782</v>
      </c>
      <c r="E5" s="129">
        <v>95892379</v>
      </c>
      <c r="F5" s="129">
        <v>103540463</v>
      </c>
      <c r="G5" s="129">
        <v>73362683</v>
      </c>
      <c r="H5" s="130">
        <v>104884070</v>
      </c>
      <c r="I5" s="129">
        <v>98610781</v>
      </c>
      <c r="J5" s="129">
        <v>207504802</v>
      </c>
      <c r="K5" s="129">
        <v>131421247</v>
      </c>
      <c r="L5" s="129">
        <v>101859440</v>
      </c>
      <c r="M5" s="129">
        <v>105176875</v>
      </c>
      <c r="N5" s="93"/>
      <c r="O5" s="75"/>
    </row>
    <row r="6" ht="15" customHeight="1">
      <c r="A6" s="17">
        <v>2</v>
      </c>
      <c r="B6" s="129">
        <v>53804200</v>
      </c>
      <c r="C6" s="129">
        <v>66177645</v>
      </c>
      <c r="D6" s="138">
        <v>83011914</v>
      </c>
      <c r="E6" s="129">
        <v>32126100</v>
      </c>
      <c r="F6" s="129">
        <v>50380872</v>
      </c>
      <c r="G6" s="129">
        <v>68462857</v>
      </c>
      <c r="H6" s="130">
        <v>58820142</v>
      </c>
      <c r="I6" s="129">
        <v>48208837</v>
      </c>
      <c r="J6" s="129">
        <v>98846228</v>
      </c>
      <c r="K6" s="129">
        <v>54247802</v>
      </c>
      <c r="L6" s="129">
        <v>62507224</v>
      </c>
      <c r="M6" s="129">
        <v>107228765</v>
      </c>
      <c r="N6" s="94"/>
      <c r="O6" s="19"/>
    </row>
    <row r="7" ht="15" customHeight="1">
      <c r="A7" s="17">
        <v>3</v>
      </c>
      <c r="B7" s="129">
        <v>42930958</v>
      </c>
      <c r="C7" s="129">
        <v>44689007</v>
      </c>
      <c r="D7" s="129">
        <v>48298854</v>
      </c>
      <c r="E7" s="129">
        <v>40024830</v>
      </c>
      <c r="F7" s="129">
        <v>49399420</v>
      </c>
      <c r="G7" s="129">
        <v>53886716</v>
      </c>
      <c r="H7" s="130">
        <v>32184860</v>
      </c>
      <c r="I7" s="129">
        <v>44445425</v>
      </c>
      <c r="J7" s="129">
        <v>56722200</v>
      </c>
      <c r="K7" s="129">
        <v>43544837</v>
      </c>
      <c r="L7" s="129">
        <v>126916490</v>
      </c>
      <c r="M7" s="129">
        <v>70919116</v>
      </c>
      <c r="N7" s="94"/>
      <c r="O7" s="19"/>
    </row>
    <row r="8" ht="15" customHeight="1">
      <c r="A8" s="17">
        <v>4</v>
      </c>
      <c r="B8" s="129">
        <v>55440353</v>
      </c>
      <c r="C8" s="129">
        <v>58586784</v>
      </c>
      <c r="D8" s="129">
        <v>217053514</v>
      </c>
      <c r="E8" s="129">
        <v>59888900</v>
      </c>
      <c r="F8" s="129">
        <v>111018371</v>
      </c>
      <c r="G8" s="129">
        <v>53758799</v>
      </c>
      <c r="H8" s="130">
        <v>78948495</v>
      </c>
      <c r="I8" s="129">
        <v>42885019</v>
      </c>
      <c r="J8" s="129">
        <v>57897928</v>
      </c>
      <c r="K8" s="129">
        <v>72813041</v>
      </c>
      <c r="L8" s="129">
        <v>55203600</v>
      </c>
      <c r="M8" s="129">
        <v>109207257</v>
      </c>
      <c r="N8" s="94"/>
      <c r="O8" s="19"/>
    </row>
    <row r="9" ht="15" customHeight="1">
      <c r="A9" s="17">
        <v>5</v>
      </c>
      <c r="B9" s="129"/>
      <c r="C9" s="129"/>
      <c r="D9" s="129">
        <v>88278250</v>
      </c>
      <c r="E9" s="129"/>
      <c r="F9" s="129"/>
      <c r="G9" s="129">
        <v>83488634</v>
      </c>
      <c r="H9" s="129"/>
      <c r="I9" s="151"/>
      <c r="J9" s="129">
        <v>79601431</v>
      </c>
      <c r="K9" s="129"/>
      <c r="L9" s="129"/>
      <c r="M9" s="129" cm="1">
        <f t="array" ref="M9">62848316+32578325</f>
        <v>95426641</v>
      </c>
      <c r="N9" s="94"/>
      <c r="O9" s="19"/>
    </row>
    <row r="10" ht="15" customHeight="1">
      <c r="A10" t="s" s="20">
        <v>184</v>
      </c>
      <c r="B10" s="129" cm="1">
        <f t="array" ref="B10">B18*100%/15%</f>
        <v>110384440</v>
      </c>
      <c r="C10" s="129" cm="1">
        <f t="array" ref="C10">C18*100%/15%</f>
        <v>98748813.3333333</v>
      </c>
      <c r="D10" s="129" cm="1">
        <f t="array" ref="D10">D18*100%/15%</f>
        <v>97808300</v>
      </c>
      <c r="E10" s="129">
        <v>118404494</v>
      </c>
      <c r="F10" s="129">
        <v>141237422</v>
      </c>
      <c r="G10" s="129">
        <v>131306553</v>
      </c>
      <c r="H10" s="130">
        <v>132105093</v>
      </c>
      <c r="I10" s="129" cm="1">
        <f t="array" ref="I10">I18*100%/15%</f>
        <v>126719506.666667</v>
      </c>
      <c r="J10" s="129" cm="1">
        <f t="array" ref="J10">J18*100%/15%</f>
        <v>156204560</v>
      </c>
      <c r="K10" s="129">
        <v>139646147</v>
      </c>
      <c r="L10" s="129">
        <v>114265785</v>
      </c>
      <c r="M10" s="129">
        <v>240905933</v>
      </c>
      <c r="N10" s="94"/>
      <c r="O10" s="19"/>
    </row>
    <row r="11" ht="15" customHeight="1">
      <c r="A11" t="s" s="20">
        <v>22</v>
      </c>
      <c r="B11" s="18" cm="1">
        <f t="array" ref="B11">SUM(B5:B10)</f>
        <v>342585687</v>
      </c>
      <c r="C11" s="18" cm="1">
        <f t="array" ref="C11">SUM(C5:C10)</f>
        <v>379459625.333333</v>
      </c>
      <c r="D11" s="18" cm="1">
        <f t="array" ref="D11">SUM(D5:D10)</f>
        <v>628292614</v>
      </c>
      <c r="E11" s="18" cm="1">
        <f t="array" ref="E11">SUM(E5:E10)</f>
        <v>346336703</v>
      </c>
      <c r="F11" s="18" cm="1">
        <f t="array" ref="F11">SUM(F5:F10)</f>
        <v>455576548</v>
      </c>
      <c r="G11" s="18" cm="1">
        <f t="array" ref="G11">SUM(G5:G10)</f>
        <v>464266242</v>
      </c>
      <c r="H11" s="18" cm="1">
        <f t="array" ref="H11">SUM(H5:H10)</f>
        <v>406942660</v>
      </c>
      <c r="I11" s="18" cm="1">
        <f t="array" ref="I11">SUM(I5:I10)</f>
        <v>360869568.666667</v>
      </c>
      <c r="J11" s="18" cm="1">
        <f t="array" ref="J11">SUM(J5:J10)</f>
        <v>656777149</v>
      </c>
      <c r="K11" s="18" cm="1">
        <f t="array" ref="K11">SUM(K5:K10)</f>
        <v>441673074</v>
      </c>
      <c r="L11" s="18" cm="1">
        <f t="array" ref="L11">SUM(L5:L10)</f>
        <v>460752539</v>
      </c>
      <c r="M11" s="18" cm="1">
        <f t="array" ref="M11">SUM(M5:M10)</f>
        <v>728864587</v>
      </c>
      <c r="N11" s="152"/>
      <c r="O11" s="19"/>
    </row>
    <row r="12" ht="15" customHeight="1">
      <c r="A12" t="s" s="20">
        <v>23</v>
      </c>
      <c r="B12" s="18" cm="1">
        <f t="array" ref="B12">AVERAGE(B5:B10)</f>
        <v>68517137.40000001</v>
      </c>
      <c r="C12" s="18" cm="1">
        <f t="array" ref="C12">AVERAGE(C5:C10)</f>
        <v>75891925.06666671</v>
      </c>
      <c r="D12" s="18" cm="1">
        <f t="array" ref="D12">AVERAGE(D5:D10)</f>
        <v>104715435.666667</v>
      </c>
      <c r="E12" s="18" cm="1">
        <f t="array" ref="E12">AVERAGE(E5:E10)</f>
        <v>69267340.59999999</v>
      </c>
      <c r="F12" s="18" cm="1">
        <f t="array" ref="F12">AVERAGE(F5:F10)</f>
        <v>91115309.59999999</v>
      </c>
      <c r="G12" s="18" cm="1">
        <f t="array" ref="G12">AVERAGE(G5:G10)</f>
        <v>77377707</v>
      </c>
      <c r="H12" s="18" cm="1">
        <f t="array" ref="H12">AVERAGE(H5:H10)</f>
        <v>81388532</v>
      </c>
      <c r="I12" s="18" cm="1">
        <f t="array" ref="I12">AVERAGE(I5:I10)</f>
        <v>72173913.73333339</v>
      </c>
      <c r="J12" s="18" cm="1">
        <f t="array" ref="J12">AVERAGE(J5:J10)</f>
        <v>109462858.166667</v>
      </c>
      <c r="K12" s="18" cm="1">
        <f t="array" ref="K12">AVERAGE(K5:K10)</f>
        <v>88334614.8</v>
      </c>
      <c r="L12" s="18" cm="1">
        <f t="array" ref="L12">AVERAGE(L5:L10)</f>
        <v>92150507.8</v>
      </c>
      <c r="M12" s="18" cm="1">
        <f t="array" ref="M12">AVERAGE(M5:M10)</f>
        <v>121477431.166667</v>
      </c>
      <c r="N12" s="96"/>
      <c r="O12" s="21"/>
    </row>
    <row r="13" ht="15" customHeight="1">
      <c r="A13" t="s" s="22">
        <v>24</v>
      </c>
      <c r="B13" s="23"/>
      <c r="C13" s="24" cm="1">
        <f t="array" ref="C13">C11/B11-1</f>
        <v>0.107634205784356</v>
      </c>
      <c r="D13" s="24" cm="1">
        <f t="array" ref="D13">D11/C11-1</f>
        <v>0.6557561649624301</v>
      </c>
      <c r="E13" s="24" cm="1">
        <f t="array" ref="E13">E11/D11-1</f>
        <v>-0.448765280248862</v>
      </c>
      <c r="F13" s="24" cm="1">
        <f t="array" ref="F13">F11/E11-1</f>
        <v>0.315415155407309</v>
      </c>
      <c r="G13" s="24" cm="1">
        <f t="array" ref="G13">G11/F11-1</f>
        <v>0.0190740590975284</v>
      </c>
      <c r="H13" s="24" cm="1">
        <f t="array" ref="H13">H11/G11-1</f>
        <v>-0.123471355042006</v>
      </c>
      <c r="I13" s="24" cm="1">
        <f t="array" ref="I13">I11/H11-1</f>
        <v>-0.113217649221964</v>
      </c>
      <c r="J13" s="24" cm="1">
        <f t="array" ref="J13">J11/I11-1</f>
        <v>0.819984853327051</v>
      </c>
      <c r="K13" s="24" cm="1">
        <f t="array" ref="K13">K11/J11-1</f>
        <v>-0.327514553951085</v>
      </c>
      <c r="L13" s="24" cm="1">
        <f t="array" ref="L13">L11/K11-1</f>
        <v>0.0431981619961737</v>
      </c>
      <c r="M13" s="24" cm="1">
        <f t="array" ref="M13">M11/L11-1</f>
        <v>0.581900315909057</v>
      </c>
      <c r="N13" s="10"/>
      <c r="O13" s="10"/>
    </row>
    <row r="14" ht="15" customHeight="1">
      <c r="A14" t="s" s="25">
        <v>211</v>
      </c>
      <c r="B14" s="26" cm="1">
        <f t="array" ref="B14">B11</f>
        <v>342585687</v>
      </c>
      <c r="C14" s="26" cm="1">
        <f t="array" ref="C14">C11+B14</f>
        <v>722045312.333333</v>
      </c>
      <c r="D14" s="26" cm="1">
        <f t="array" ref="D14">D11+C14</f>
        <v>1350337926.33333</v>
      </c>
      <c r="E14" s="26" cm="1">
        <f t="array" ref="E14">E11+D14</f>
        <v>1696674629.33333</v>
      </c>
      <c r="F14" s="26" cm="1">
        <f t="array" ref="F14">F11+E14</f>
        <v>2152251177.33333</v>
      </c>
      <c r="G14" s="26" cm="1">
        <f t="array" ref="G14">G11+F14</f>
        <v>2616517419.33333</v>
      </c>
      <c r="H14" s="26" cm="1">
        <f t="array" ref="H14">H11+G14</f>
        <v>3023460079.33333</v>
      </c>
      <c r="I14" s="26" cm="1">
        <f t="array" ref="I14">I11+H14</f>
        <v>3384329648</v>
      </c>
      <c r="J14" s="26" cm="1">
        <f t="array" ref="J14">J11+I14</f>
        <v>4041106797</v>
      </c>
      <c r="K14" s="26" cm="1">
        <f t="array" ref="K14">K11+J14</f>
        <v>4482779871</v>
      </c>
      <c r="L14" s="26" cm="1">
        <f t="array" ref="L14">L11+K14</f>
        <v>4943532410</v>
      </c>
      <c r="M14" s="26" cm="1">
        <f t="array" ref="M14">M11+L14</f>
        <v>5672396997</v>
      </c>
      <c r="N14" s="76"/>
      <c r="O14" s="76"/>
    </row>
    <row r="15" ht="15" customHeight="1">
      <c r="A15" t="s" s="25">
        <v>195</v>
      </c>
      <c r="B15" s="26">
        <v>301197802</v>
      </c>
      <c r="C15" s="26">
        <v>753418784</v>
      </c>
      <c r="D15" s="26">
        <v>1092190314</v>
      </c>
      <c r="E15" s="26">
        <v>1537506526</v>
      </c>
      <c r="F15" s="26">
        <v>1857104933</v>
      </c>
      <c r="G15" s="26">
        <v>2243821174</v>
      </c>
      <c r="H15" s="26">
        <v>2681673401</v>
      </c>
      <c r="I15" s="26">
        <v>3020237345</v>
      </c>
      <c r="J15" s="26">
        <v>3344346603</v>
      </c>
      <c r="K15" s="26">
        <v>3768563119.66667</v>
      </c>
      <c r="L15" s="26">
        <v>4123669308.66667</v>
      </c>
      <c r="M15" s="26">
        <v>4689919111.66667</v>
      </c>
      <c r="N15" s="57"/>
      <c r="O15" s="57"/>
    </row>
    <row r="16" ht="15" customHeight="1">
      <c r="A16" t="s" s="25">
        <v>212</v>
      </c>
      <c r="B16" s="28" cm="1">
        <f t="array" ref="B16">B14/B15-1</f>
        <v>0.137410979513058</v>
      </c>
      <c r="C16" s="28" cm="1">
        <f t="array" ref="C16">C14/C15-1</f>
        <v>-0.0416414779309073</v>
      </c>
      <c r="D16" s="28" cm="1">
        <f t="array" ref="D16">D14/D15-1</f>
        <v>0.236357719917785</v>
      </c>
      <c r="E16" s="28" cm="1">
        <f t="array" ref="E16">E14/E15-1</f>
        <v>0.103523530236599</v>
      </c>
      <c r="F16" s="28" cm="1">
        <f t="array" ref="F16">F14/F15-1</f>
        <v>0.158928146217643</v>
      </c>
      <c r="G16" s="28" cm="1">
        <f t="array" ref="G16">G14/G15-1</f>
        <v>0.166098907369224</v>
      </c>
      <c r="H16" s="28" cm="1">
        <f t="array" ref="H16">H14/H15-1</f>
        <v>0.127452760729878</v>
      </c>
      <c r="I16" s="28" cm="1">
        <f t="array" ref="I16">I14/I15-1</f>
        <v>0.120550891009528</v>
      </c>
      <c r="J16" s="28" cm="1">
        <f t="array" ref="J16">J14/J15-1</f>
        <v>0.208339707784768</v>
      </c>
      <c r="K16" s="28" cm="1">
        <f t="array" ref="K16">K14/K15-1</f>
        <v>0.189519646786891</v>
      </c>
      <c r="L16" s="28" cm="1">
        <f t="array" ref="L16">L14/L15-1</f>
        <v>0.198818828563734</v>
      </c>
      <c r="M16" s="28" cm="1">
        <f t="array" ref="M16">M14/M15-1</f>
        <v>0.209487170661283</v>
      </c>
      <c r="N16" s="77"/>
      <c r="O16" s="77"/>
    </row>
    <row r="17" ht="15" customHeight="1">
      <c r="A17" s="11"/>
      <c r="B17" s="28"/>
      <c r="C17" s="28"/>
      <c r="D17" s="28"/>
      <c r="E17" s="28"/>
      <c r="F17" s="28"/>
      <c r="G17" s="28"/>
      <c r="H17" s="28"/>
      <c r="I17" s="28"/>
      <c r="J17" s="28"/>
      <c r="K17" s="116"/>
      <c r="L17" s="28"/>
      <c r="M17" s="28"/>
      <c r="N17" s="10"/>
      <c r="O17" s="10"/>
    </row>
    <row r="18" ht="15" customHeight="1">
      <c r="A18" t="s" s="106">
        <v>167</v>
      </c>
      <c r="B18" s="63">
        <v>16557666</v>
      </c>
      <c r="C18" s="63">
        <v>14812322</v>
      </c>
      <c r="D18" s="63">
        <v>14671245</v>
      </c>
      <c r="E18" s="63"/>
      <c r="F18" s="63"/>
      <c r="G18" s="63"/>
      <c r="H18" s="63"/>
      <c r="I18" s="63">
        <v>19007926</v>
      </c>
      <c r="J18" s="63">
        <v>23430684</v>
      </c>
      <c r="K18" s="63"/>
      <c r="L18" s="63">
        <v>17139867</v>
      </c>
      <c r="M18" s="63"/>
      <c r="N18" s="10"/>
      <c r="O18" s="10"/>
    </row>
    <row r="19" ht="15" customHeight="1">
      <c r="A19" s="64"/>
      <c r="B19" s="28"/>
      <c r="C19" s="28"/>
      <c r="D19" s="28"/>
      <c r="E19" s="28"/>
      <c r="F19" s="28"/>
      <c r="G19" s="28"/>
      <c r="H19" s="28"/>
      <c r="I19" s="28"/>
      <c r="J19" s="28"/>
      <c r="K19" s="116"/>
      <c r="L19" s="28"/>
      <c r="M19" s="28"/>
      <c r="N19" s="10"/>
      <c r="O19" s="10"/>
    </row>
    <row r="20" ht="15" customHeight="1">
      <c r="A20" s="13"/>
      <c r="B20" s="29"/>
      <c r="C20" s="29"/>
      <c r="D20" s="29"/>
      <c r="E20" s="29"/>
      <c r="F20" s="13"/>
      <c r="G20" s="13"/>
      <c r="H20" s="13"/>
      <c r="I20" s="13"/>
      <c r="J20" s="13"/>
      <c r="K20" s="13"/>
      <c r="L20" s="13"/>
      <c r="M20" s="13"/>
      <c r="N20" s="77"/>
      <c r="O20" s="10"/>
    </row>
    <row r="21" ht="15" customHeight="1">
      <c r="A21" t="s" s="33">
        <v>120</v>
      </c>
      <c r="B21" s="18"/>
      <c r="C21" s="92"/>
      <c r="D21" s="18"/>
      <c r="E21" s="18"/>
      <c r="F21" s="18"/>
      <c r="G21" s="18"/>
      <c r="H21" s="18"/>
      <c r="I21" s="92"/>
      <c r="J21" s="92"/>
      <c r="K21" s="92"/>
      <c r="L21" s="18"/>
      <c r="M21" s="92"/>
      <c r="N21" s="97"/>
      <c r="O21" s="98"/>
    </row>
    <row r="22" ht="15" customHeight="1">
      <c r="A22" t="s" s="33">
        <v>38</v>
      </c>
      <c r="B22" s="18"/>
      <c r="C22" s="18"/>
      <c r="D22" s="18"/>
      <c r="E22" s="18"/>
      <c r="F22" s="18"/>
      <c r="G22" s="18"/>
      <c r="H22" s="18"/>
      <c r="I22" s="39"/>
      <c r="J22" s="18"/>
      <c r="K22" s="18"/>
      <c r="L22" s="18"/>
      <c r="M22" s="18"/>
      <c r="N22" s="97"/>
      <c r="O22" s="157"/>
    </row>
    <row r="23" ht="15" customHeight="1">
      <c r="A23" t="s" s="33">
        <v>121</v>
      </c>
      <c r="B23" s="18"/>
      <c r="C23" s="18"/>
      <c r="D23" s="18"/>
      <c r="E23" s="18"/>
      <c r="F23" s="18"/>
      <c r="G23" s="18"/>
      <c r="H23" s="18"/>
      <c r="I23" s="18"/>
      <c r="J23" s="18"/>
      <c r="K23" s="18"/>
      <c r="L23" s="18"/>
      <c r="M23" s="18"/>
      <c r="N23" s="94" cm="1">
        <f t="array" ref="N23">SUM(B23:M23)</f>
        <v>0</v>
      </c>
      <c r="O23" s="19"/>
    </row>
    <row r="24" ht="15" customHeight="1">
      <c r="A24" t="s" s="33">
        <v>122</v>
      </c>
      <c r="B24" s="18"/>
      <c r="C24" s="18"/>
      <c r="D24" s="18"/>
      <c r="E24" s="18"/>
      <c r="F24" s="18"/>
      <c r="G24" s="18"/>
      <c r="H24" s="18"/>
      <c r="I24" s="18"/>
      <c r="J24" s="18"/>
      <c r="K24" s="18"/>
      <c r="L24" s="18"/>
      <c r="M24" s="18"/>
      <c r="N24" s="94" cm="1">
        <f t="array" ref="N24">SUM(B24:M24)</f>
        <v>0</v>
      </c>
      <c r="O24" s="19"/>
    </row>
    <row r="25" ht="15" customHeight="1">
      <c r="A25" t="s" s="33">
        <v>49</v>
      </c>
      <c r="B25" s="18"/>
      <c r="C25" s="18"/>
      <c r="D25" s="18"/>
      <c r="E25" s="18"/>
      <c r="F25" s="18"/>
      <c r="G25" s="18"/>
      <c r="H25" s="18"/>
      <c r="I25" s="18"/>
      <c r="J25" s="18"/>
      <c r="K25" s="18"/>
      <c r="L25" s="18"/>
      <c r="M25" s="18"/>
      <c r="N25" s="94" cm="1">
        <f t="array" ref="N25">SUM(B25:M25)</f>
        <v>0</v>
      </c>
      <c r="O25" s="19"/>
    </row>
    <row r="26" ht="15" customHeight="1">
      <c r="A26" s="30"/>
      <c r="B26" s="23"/>
      <c r="C26" s="23"/>
      <c r="D26" s="23"/>
      <c r="E26" s="23"/>
      <c r="F26" s="23"/>
      <c r="G26" s="23"/>
      <c r="H26" s="23"/>
      <c r="I26" s="45"/>
      <c r="J26" s="23"/>
      <c r="K26" s="23"/>
      <c r="L26" s="23"/>
      <c r="M26" s="23"/>
      <c r="N26" s="27"/>
      <c r="O26" s="27"/>
    </row>
    <row r="27" ht="15" customHeight="1">
      <c r="A27" s="11"/>
      <c r="B27" s="26"/>
      <c r="C27" s="26"/>
      <c r="D27" s="26"/>
      <c r="E27" s="26"/>
      <c r="F27" s="26"/>
      <c r="G27" s="26"/>
      <c r="H27" s="26"/>
      <c r="I27" s="26"/>
      <c r="J27" s="26"/>
      <c r="K27" s="26"/>
      <c r="L27" s="26"/>
      <c r="M27" s="26"/>
      <c r="N27" s="27"/>
      <c r="O27" s="27"/>
    </row>
    <row r="28" ht="23" customHeight="1">
      <c r="A28" t="s" s="7">
        <v>6</v>
      </c>
      <c r="B28" s="8"/>
      <c r="C28" s="8"/>
      <c r="D28" s="9"/>
      <c r="E28" s="9"/>
      <c r="F28" s="9"/>
      <c r="G28" s="9"/>
      <c r="H28" s="9"/>
      <c r="I28" s="9"/>
      <c r="J28" s="9"/>
      <c r="K28" s="9"/>
      <c r="L28" s="9"/>
      <c r="M28" s="9"/>
      <c r="N28" s="27"/>
      <c r="O28" s="27"/>
    </row>
    <row r="29" ht="23" customHeight="1">
      <c r="A29" t="s" s="7">
        <v>213</v>
      </c>
      <c r="B29" s="8"/>
      <c r="C29" s="8"/>
      <c r="D29" s="12"/>
      <c r="E29" s="12"/>
      <c r="F29" s="12"/>
      <c r="G29" s="12"/>
      <c r="H29" s="12"/>
      <c r="I29" s="12"/>
      <c r="J29" s="12"/>
      <c r="K29" s="12"/>
      <c r="L29" s="12"/>
      <c r="M29" s="12"/>
      <c r="N29" s="27"/>
      <c r="O29" s="27"/>
    </row>
    <row r="30" ht="23" customHeight="1">
      <c r="A30" s="8"/>
      <c r="B30" s="8"/>
      <c r="C30" s="8"/>
      <c r="D30" s="9"/>
      <c r="E30" s="9"/>
      <c r="F30" s="9"/>
      <c r="G30" s="9"/>
      <c r="H30" s="9"/>
      <c r="I30" s="9"/>
      <c r="J30" s="9"/>
      <c r="K30" s="9"/>
      <c r="L30" s="9"/>
      <c r="M30" s="9"/>
      <c r="N30" s="27"/>
      <c r="O30" s="27"/>
    </row>
    <row r="31" ht="15" customHeight="1">
      <c r="A31" s="13"/>
      <c r="B31" s="13"/>
      <c r="C31" s="13"/>
      <c r="D31" s="13"/>
      <c r="E31" s="13"/>
      <c r="F31" s="13"/>
      <c r="G31" s="13"/>
      <c r="H31" s="13"/>
      <c r="I31" s="13"/>
      <c r="J31" s="13"/>
      <c r="K31" s="13"/>
      <c r="L31" s="13"/>
      <c r="M31" s="13"/>
      <c r="N31" s="78"/>
      <c r="O31" s="78"/>
    </row>
    <row r="32" ht="15" customHeight="1">
      <c r="A32" t="s" s="32">
        <v>28</v>
      </c>
      <c r="B32" t="s" s="14">
        <v>9</v>
      </c>
      <c r="C32" t="s" s="14">
        <v>10</v>
      </c>
      <c r="D32" t="s" s="14">
        <v>11</v>
      </c>
      <c r="E32" t="s" s="14">
        <v>12</v>
      </c>
      <c r="F32" t="s" s="14">
        <v>13</v>
      </c>
      <c r="G32" t="s" s="14">
        <v>14</v>
      </c>
      <c r="H32" t="s" s="14">
        <v>15</v>
      </c>
      <c r="I32" t="s" s="14">
        <v>16</v>
      </c>
      <c r="J32" t="s" s="14">
        <v>17</v>
      </c>
      <c r="K32" t="s" s="14">
        <v>18</v>
      </c>
      <c r="L32" t="s" s="14">
        <v>19</v>
      </c>
      <c r="M32" t="s" s="14">
        <v>20</v>
      </c>
      <c r="N32" t="s" s="73">
        <v>210</v>
      </c>
      <c r="O32" s="91"/>
    </row>
    <row r="33" ht="15" customHeight="1">
      <c r="A33" t="s" s="33">
        <v>179</v>
      </c>
      <c r="B33" s="79">
        <v>1810</v>
      </c>
      <c r="C33" s="79">
        <v>1865</v>
      </c>
      <c r="D33" s="79">
        <v>1673</v>
      </c>
      <c r="E33" s="80">
        <v>1582</v>
      </c>
      <c r="F33" s="80">
        <v>1474</v>
      </c>
      <c r="G33" s="80">
        <v>1414</v>
      </c>
      <c r="H33" s="80">
        <v>1507</v>
      </c>
      <c r="I33" s="80">
        <v>1505</v>
      </c>
      <c r="J33" s="118">
        <v>1512</v>
      </c>
      <c r="K33" s="17">
        <v>1346</v>
      </c>
      <c r="L33" s="17">
        <v>1440</v>
      </c>
      <c r="M33" s="17">
        <v>1452</v>
      </c>
      <c r="N33" s="135"/>
      <c r="O33" s="154"/>
    </row>
    <row r="34" ht="15" customHeight="1">
      <c r="A34" t="s" s="33">
        <v>180</v>
      </c>
      <c r="B34" s="79">
        <v>537</v>
      </c>
      <c r="C34" s="79">
        <v>561</v>
      </c>
      <c r="D34" s="79">
        <v>575</v>
      </c>
      <c r="E34" s="80">
        <v>584</v>
      </c>
      <c r="F34" s="80">
        <v>534</v>
      </c>
      <c r="G34" s="80">
        <v>540</v>
      </c>
      <c r="H34" s="80">
        <v>588</v>
      </c>
      <c r="I34" s="80">
        <v>633</v>
      </c>
      <c r="J34" s="118">
        <v>700</v>
      </c>
      <c r="K34" s="17">
        <v>588</v>
      </c>
      <c r="L34" s="17">
        <v>597</v>
      </c>
      <c r="M34" s="17">
        <v>557</v>
      </c>
      <c r="N34" s="141"/>
      <c r="O34" s="155"/>
    </row>
    <row r="35" ht="15" customHeight="1">
      <c r="A35" t="s" s="33">
        <v>30</v>
      </c>
      <c r="B35" s="80"/>
      <c r="C35" s="80"/>
      <c r="D35" s="80"/>
      <c r="E35" s="80"/>
      <c r="F35" s="80"/>
      <c r="G35" s="80"/>
      <c r="H35" s="80"/>
      <c r="I35" s="35"/>
      <c r="J35" s="35"/>
      <c r="K35" s="35"/>
      <c r="L35" s="35"/>
      <c r="M35" s="35"/>
      <c r="N35" s="36"/>
      <c r="O35" s="11"/>
    </row>
    <row r="36" ht="15" customHeight="1">
      <c r="A36" t="s" s="33">
        <v>31</v>
      </c>
      <c r="B36" t="s" s="20">
        <v>200</v>
      </c>
      <c r="C36" s="80">
        <v>380</v>
      </c>
      <c r="D36" s="80">
        <v>308</v>
      </c>
      <c r="E36" s="80">
        <v>338</v>
      </c>
      <c r="F36" s="80">
        <v>312</v>
      </c>
      <c r="G36" s="80">
        <v>230</v>
      </c>
      <c r="H36" s="80">
        <v>558</v>
      </c>
      <c r="I36" s="17">
        <v>292</v>
      </c>
      <c r="J36" s="17">
        <v>277</v>
      </c>
      <c r="K36" s="17">
        <v>263</v>
      </c>
      <c r="L36" s="17">
        <v>261</v>
      </c>
      <c r="M36" s="17">
        <v>197</v>
      </c>
      <c r="N36" s="36"/>
      <c r="O36" s="11"/>
    </row>
    <row r="37" ht="15" customHeight="1">
      <c r="A37" t="s" s="33">
        <v>32</v>
      </c>
      <c r="B37" s="80"/>
      <c r="C37" s="80"/>
      <c r="D37" s="80"/>
      <c r="E37" s="80"/>
      <c r="F37" s="80"/>
      <c r="G37" s="80"/>
      <c r="H37" s="80"/>
      <c r="I37" s="35"/>
      <c r="J37" s="35"/>
      <c r="K37" s="35"/>
      <c r="L37" s="35"/>
      <c r="M37" s="35"/>
      <c r="N37" s="36"/>
      <c r="O37" s="11"/>
    </row>
    <row r="38" ht="15" customHeight="1">
      <c r="A38" t="s" s="33">
        <v>33</v>
      </c>
      <c r="B38" s="80"/>
      <c r="C38" s="80"/>
      <c r="D38" s="80"/>
      <c r="E38" s="80"/>
      <c r="F38" s="80"/>
      <c r="G38" s="80"/>
      <c r="H38" s="80"/>
      <c r="I38" s="80"/>
      <c r="J38" s="35"/>
      <c r="K38" s="80"/>
      <c r="L38" s="35"/>
      <c r="M38" s="35"/>
      <c r="N38" s="36"/>
      <c r="O38" s="11"/>
    </row>
    <row r="39" ht="15" customHeight="1">
      <c r="A39" s="40">
        <v>1</v>
      </c>
      <c r="B39" s="80"/>
      <c r="C39" s="80"/>
      <c r="D39" s="80"/>
      <c r="E39" s="80"/>
      <c r="F39" s="80"/>
      <c r="G39" s="80"/>
      <c r="H39" s="80"/>
      <c r="I39" s="35"/>
      <c r="J39" s="35"/>
      <c r="K39" s="35"/>
      <c r="L39" s="35"/>
      <c r="M39" s="35"/>
      <c r="N39" s="36"/>
      <c r="O39" s="11"/>
    </row>
    <row r="40" ht="15" customHeight="1">
      <c r="A40" s="40">
        <v>2</v>
      </c>
      <c r="B40" s="80"/>
      <c r="C40" s="80"/>
      <c r="D40" s="80"/>
      <c r="E40" s="80"/>
      <c r="F40" s="80"/>
      <c r="G40" s="80"/>
      <c r="H40" s="80"/>
      <c r="I40" s="35"/>
      <c r="J40" s="35"/>
      <c r="K40" s="35"/>
      <c r="L40" s="35"/>
      <c r="M40" s="35"/>
      <c r="N40" s="36"/>
      <c r="O40" s="11"/>
    </row>
    <row r="41" ht="15" customHeight="1">
      <c r="A41" s="40">
        <v>3</v>
      </c>
      <c r="B41" s="80"/>
      <c r="C41" s="80"/>
      <c r="D41" s="80"/>
      <c r="E41" s="80"/>
      <c r="F41" s="80"/>
      <c r="G41" s="80"/>
      <c r="H41" s="80"/>
      <c r="I41" s="35"/>
      <c r="J41" s="35"/>
      <c r="K41" s="35"/>
      <c r="L41" s="35"/>
      <c r="M41" s="35"/>
      <c r="N41" s="36"/>
      <c r="O41" s="11"/>
    </row>
    <row r="42" ht="15" customHeight="1">
      <c r="A42" t="s" s="33">
        <v>34</v>
      </c>
      <c r="B42" s="35"/>
      <c r="C42" s="35"/>
      <c r="D42" s="35"/>
      <c r="E42" s="35"/>
      <c r="F42" s="35"/>
      <c r="G42" s="35"/>
      <c r="H42" s="35"/>
      <c r="I42" s="35"/>
      <c r="J42" s="35"/>
      <c r="K42" s="35"/>
      <c r="L42" s="35"/>
      <c r="M42" s="35"/>
      <c r="N42" s="36"/>
      <c r="O42" s="11"/>
    </row>
    <row r="43" ht="15" customHeight="1">
      <c r="A43" s="37"/>
      <c r="B43" s="83"/>
      <c r="C43" s="83"/>
      <c r="D43" s="83"/>
      <c r="E43" s="83"/>
      <c r="F43" s="83"/>
      <c r="G43" s="84"/>
      <c r="H43" s="83"/>
      <c r="I43" s="37"/>
      <c r="J43" s="37"/>
      <c r="K43" s="37"/>
      <c r="L43" s="37"/>
      <c r="M43" s="37"/>
      <c r="N43" s="11"/>
      <c r="O43" s="11"/>
    </row>
    <row r="44" ht="15" customHeight="1">
      <c r="A44" t="s" s="32">
        <v>28</v>
      </c>
      <c r="B44" t="s" s="14">
        <v>9</v>
      </c>
      <c r="C44" t="s" s="14">
        <v>10</v>
      </c>
      <c r="D44" t="s" s="14">
        <v>11</v>
      </c>
      <c r="E44" t="s" s="14">
        <v>12</v>
      </c>
      <c r="F44" t="s" s="14">
        <v>13</v>
      </c>
      <c r="G44" t="s" s="14">
        <v>14</v>
      </c>
      <c r="H44" t="s" s="14">
        <v>15</v>
      </c>
      <c r="I44" t="s" s="14">
        <v>16</v>
      </c>
      <c r="J44" t="s" s="14">
        <v>17</v>
      </c>
      <c r="K44" t="s" s="14">
        <v>18</v>
      </c>
      <c r="L44" t="s" s="14">
        <v>19</v>
      </c>
      <c r="M44" t="s" s="14">
        <v>20</v>
      </c>
      <c r="N44" s="36"/>
      <c r="O44" s="11"/>
    </row>
    <row r="45" ht="15" customHeight="1">
      <c r="A45" t="s" s="33">
        <v>35</v>
      </c>
      <c r="B45" s="17">
        <v>126</v>
      </c>
      <c r="C45" s="17">
        <v>103</v>
      </c>
      <c r="D45" s="17">
        <v>94</v>
      </c>
      <c r="E45" s="17">
        <v>68</v>
      </c>
      <c r="F45" s="17">
        <v>69</v>
      </c>
      <c r="G45" s="17">
        <v>117</v>
      </c>
      <c r="H45" s="17">
        <v>77</v>
      </c>
      <c r="I45" s="17">
        <v>68</v>
      </c>
      <c r="J45" s="17">
        <v>102</v>
      </c>
      <c r="K45" s="17">
        <v>89</v>
      </c>
      <c r="L45" s="17">
        <v>67</v>
      </c>
      <c r="M45" s="17">
        <v>77</v>
      </c>
      <c r="N45" s="36"/>
      <c r="O45" s="11"/>
    </row>
    <row r="46" ht="15" customHeight="1">
      <c r="A46" t="s" s="33">
        <v>85</v>
      </c>
      <c r="B46" s="35"/>
      <c r="C46" s="35"/>
      <c r="D46" s="35"/>
      <c r="E46" s="35"/>
      <c r="F46" s="35"/>
      <c r="G46" s="35"/>
      <c r="H46" s="35"/>
      <c r="I46" s="35"/>
      <c r="J46" s="35"/>
      <c r="K46" s="35"/>
      <c r="L46" s="35"/>
      <c r="M46" s="35"/>
      <c r="N46" s="36"/>
      <c r="O46" s="11"/>
    </row>
    <row r="47" ht="15" customHeight="1">
      <c r="A47" t="s" s="33">
        <v>37</v>
      </c>
      <c r="B47" t="s" s="20">
        <v>200</v>
      </c>
      <c r="C47" s="17">
        <v>17</v>
      </c>
      <c r="D47" t="s" s="20">
        <v>200</v>
      </c>
      <c r="E47" s="17">
        <v>21</v>
      </c>
      <c r="F47" t="s" s="20">
        <v>200</v>
      </c>
      <c r="G47" s="17">
        <v>6</v>
      </c>
      <c r="H47" t="s" s="20">
        <v>200</v>
      </c>
      <c r="I47" s="17">
        <v>27</v>
      </c>
      <c r="J47" t="s" s="20">
        <v>200</v>
      </c>
      <c r="K47" s="17">
        <v>16</v>
      </c>
      <c r="L47" t="s" s="20">
        <v>200</v>
      </c>
      <c r="M47" s="17">
        <v>14</v>
      </c>
      <c r="N47" s="36"/>
      <c r="O47" s="11"/>
    </row>
    <row r="48" ht="15" customHeight="1">
      <c r="A48" t="s" s="33">
        <v>100</v>
      </c>
      <c r="B48" s="35"/>
      <c r="C48" s="35"/>
      <c r="D48" s="35"/>
      <c r="E48" s="35"/>
      <c r="F48" s="35"/>
      <c r="G48" s="35"/>
      <c r="H48" s="35"/>
      <c r="I48" s="35"/>
      <c r="J48" s="35"/>
      <c r="K48" s="35"/>
      <c r="L48" s="35"/>
      <c r="M48" s="35"/>
      <c r="N48" s="36"/>
      <c r="O48" s="11"/>
    </row>
    <row r="49" ht="15" customHeight="1">
      <c r="A49" t="s" s="33">
        <v>101</v>
      </c>
      <c r="B49" s="35"/>
      <c r="C49" s="35"/>
      <c r="D49" s="35"/>
      <c r="E49" s="35"/>
      <c r="F49" s="35"/>
      <c r="G49" s="35"/>
      <c r="H49" s="35"/>
      <c r="I49" s="35"/>
      <c r="J49" s="35"/>
      <c r="K49" s="35"/>
      <c r="L49" s="35"/>
      <c r="M49" s="35"/>
      <c r="N49" s="36"/>
      <c r="O49" s="11"/>
    </row>
    <row r="50" ht="15" customHeight="1">
      <c r="A50" t="s" s="33">
        <v>169</v>
      </c>
      <c r="B50" s="35"/>
      <c r="C50" s="35"/>
      <c r="D50" s="35"/>
      <c r="E50" s="35"/>
      <c r="F50" s="35"/>
      <c r="G50" s="35"/>
      <c r="H50" s="35"/>
      <c r="I50" s="35"/>
      <c r="J50" s="35"/>
      <c r="K50" s="35"/>
      <c r="L50" s="35"/>
      <c r="M50" s="35"/>
      <c r="N50" s="36"/>
      <c r="O50" s="11"/>
    </row>
    <row r="51" ht="15" customHeight="1">
      <c r="A51" s="39"/>
      <c r="B51" s="35"/>
      <c r="C51" s="35"/>
      <c r="D51" s="35"/>
      <c r="E51" s="35"/>
      <c r="F51" s="35"/>
      <c r="G51" s="35"/>
      <c r="H51" s="35"/>
      <c r="I51" s="35"/>
      <c r="J51" s="35"/>
      <c r="K51" s="35"/>
      <c r="L51" s="35"/>
      <c r="M51" s="35"/>
      <c r="N51" s="36"/>
      <c r="O51" s="11"/>
    </row>
    <row r="52" ht="29" customHeight="1">
      <c r="A52" t="s" s="68">
        <v>214</v>
      </c>
      <c r="B52" t="s" s="14">
        <v>9</v>
      </c>
      <c r="C52" t="s" s="14">
        <v>10</v>
      </c>
      <c r="D52" t="s" s="14">
        <v>11</v>
      </c>
      <c r="E52" t="s" s="14">
        <v>12</v>
      </c>
      <c r="F52" t="s" s="14">
        <v>13</v>
      </c>
      <c r="G52" t="s" s="14">
        <v>14</v>
      </c>
      <c r="H52" t="s" s="14">
        <v>15</v>
      </c>
      <c r="I52" t="s" s="14">
        <v>16</v>
      </c>
      <c r="J52" t="s" s="14">
        <v>17</v>
      </c>
      <c r="K52" t="s" s="14">
        <v>18</v>
      </c>
      <c r="L52" t="s" s="14">
        <v>19</v>
      </c>
      <c r="M52" t="s" s="14">
        <v>20</v>
      </c>
      <c r="N52" s="36"/>
      <c r="O52" s="11"/>
    </row>
    <row r="53" ht="15" customHeight="1">
      <c r="A53" t="s" s="33">
        <v>39</v>
      </c>
      <c r="B53" s="35"/>
      <c r="C53" s="35"/>
      <c r="D53" s="35"/>
      <c r="E53" s="35"/>
      <c r="F53" s="35"/>
      <c r="G53" s="17">
        <v>321</v>
      </c>
      <c r="H53" s="35"/>
      <c r="I53" s="35"/>
      <c r="J53" s="35"/>
      <c r="K53" s="35"/>
      <c r="L53" s="35"/>
      <c r="M53" s="17">
        <v>283</v>
      </c>
      <c r="N53" s="36"/>
      <c r="O53" s="11"/>
    </row>
    <row r="54" ht="15" customHeight="1">
      <c r="A54" t="s" s="33">
        <v>40</v>
      </c>
      <c r="B54" s="35"/>
      <c r="C54" s="142"/>
      <c r="D54" s="41"/>
      <c r="E54" s="41"/>
      <c r="F54" s="41"/>
      <c r="G54" s="122">
        <v>188</v>
      </c>
      <c r="H54" s="35"/>
      <c r="I54" s="35"/>
      <c r="J54" s="35"/>
      <c r="K54" s="35"/>
      <c r="L54" s="35"/>
      <c r="M54" s="17" cm="1">
        <f t="array" ref="M54">133+48</f>
        <v>181</v>
      </c>
      <c r="N54" s="36"/>
      <c r="O54" s="11"/>
    </row>
    <row r="55" ht="15" customHeight="1">
      <c r="A55" t="s" s="33">
        <v>41</v>
      </c>
      <c r="B55" s="35"/>
      <c r="C55" s="35"/>
      <c r="D55" s="35"/>
      <c r="E55" s="35"/>
      <c r="F55" s="35"/>
      <c r="G55" s="17">
        <v>40</v>
      </c>
      <c r="H55" s="35"/>
      <c r="I55" s="35"/>
      <c r="J55" s="35"/>
      <c r="K55" s="35"/>
      <c r="L55" s="35"/>
      <c r="M55" s="17">
        <v>40</v>
      </c>
      <c r="N55" s="36"/>
      <c r="O55" s="11"/>
    </row>
    <row r="56" ht="15" customHeight="1">
      <c r="A56" t="s" s="33">
        <v>42</v>
      </c>
      <c r="B56" s="39"/>
      <c r="C56" s="35"/>
      <c r="D56" s="35"/>
      <c r="E56" s="35"/>
      <c r="F56" s="35"/>
      <c r="G56" s="17" cm="1">
        <f t="array" ref="G56">133</f>
        <v>133</v>
      </c>
      <c r="H56" s="35"/>
      <c r="I56" s="35"/>
      <c r="J56" s="35"/>
      <c r="K56" s="39"/>
      <c r="L56" s="39"/>
      <c r="M56" s="17">
        <v>183</v>
      </c>
      <c r="N56" s="36"/>
      <c r="O56" s="11"/>
    </row>
    <row r="57" ht="15" customHeight="1">
      <c r="A57" t="s" s="33">
        <v>87</v>
      </c>
      <c r="B57" s="39"/>
      <c r="C57" s="35"/>
      <c r="D57" s="35"/>
      <c r="E57" s="35"/>
      <c r="F57" s="35"/>
      <c r="G57" s="17" cm="1">
        <f t="array" ref="G57">40+16</f>
        <v>56</v>
      </c>
      <c r="H57" s="35"/>
      <c r="I57" s="35"/>
      <c r="J57" s="35"/>
      <c r="K57" s="39"/>
      <c r="L57" s="39"/>
      <c r="M57" s="17" cm="1">
        <f t="array" ref="M57">54+12</f>
        <v>66</v>
      </c>
      <c r="N57" s="36"/>
      <c r="O57" s="11"/>
    </row>
    <row r="58" ht="15" customHeight="1">
      <c r="A58" t="s" s="33">
        <v>88</v>
      </c>
      <c r="B58" s="39"/>
      <c r="C58" s="35"/>
      <c r="D58" s="35"/>
      <c r="E58" s="35"/>
      <c r="F58" s="35"/>
      <c r="G58" s="17">
        <v>120</v>
      </c>
      <c r="H58" s="35"/>
      <c r="I58" s="39"/>
      <c r="J58" s="39"/>
      <c r="K58" s="35"/>
      <c r="L58" s="39"/>
      <c r="M58" s="17">
        <v>120</v>
      </c>
      <c r="N58" s="36"/>
      <c r="O58" s="11"/>
    </row>
    <row r="59" ht="15" customHeight="1">
      <c r="A59" t="s" s="33">
        <v>170</v>
      </c>
      <c r="B59" s="39"/>
      <c r="C59" s="35"/>
      <c r="D59" s="35"/>
      <c r="E59" s="35"/>
      <c r="F59" s="35"/>
      <c r="G59" s="17">
        <v>80</v>
      </c>
      <c r="H59" s="35"/>
      <c r="I59" s="35"/>
      <c r="J59" s="35"/>
      <c r="K59" s="35"/>
      <c r="L59" s="39"/>
      <c r="M59" s="17">
        <v>80</v>
      </c>
      <c r="N59" s="36"/>
      <c r="O59" s="11"/>
    </row>
    <row r="60" ht="15" customHeight="1">
      <c r="A60" t="s" s="33">
        <v>125</v>
      </c>
      <c r="B60" s="39"/>
      <c r="C60" s="35"/>
      <c r="D60" s="35"/>
      <c r="E60" s="35"/>
      <c r="F60" s="35"/>
      <c r="G60" s="17">
        <v>70</v>
      </c>
      <c r="H60" s="35"/>
      <c r="I60" s="35"/>
      <c r="J60" s="35"/>
      <c r="K60" s="35"/>
      <c r="L60" s="39"/>
      <c r="M60" s="17">
        <v>72</v>
      </c>
      <c r="N60" s="36"/>
      <c r="O60" s="11"/>
    </row>
    <row r="61" ht="15" customHeight="1">
      <c r="A61" t="s" s="33">
        <v>33</v>
      </c>
      <c r="B61" s="39"/>
      <c r="C61" s="35"/>
      <c r="D61" s="35"/>
      <c r="E61" s="35"/>
      <c r="F61" s="35"/>
      <c r="G61" s="17" cm="1">
        <f t="array" ref="G61">277+22</f>
        <v>299</v>
      </c>
      <c r="H61" s="35"/>
      <c r="I61" s="35"/>
      <c r="J61" s="35"/>
      <c r="K61" s="35"/>
      <c r="L61" s="39"/>
      <c r="M61" s="17">
        <v>240</v>
      </c>
      <c r="N61" s="36"/>
      <c r="O61" s="11"/>
    </row>
    <row r="62" ht="15" customHeight="1">
      <c r="A62" t="s" s="33">
        <v>22</v>
      </c>
      <c r="B62" s="17" cm="1">
        <f t="array" ref="B62">SUM(B53:B61)</f>
        <v>0</v>
      </c>
      <c r="C62" s="17" cm="1">
        <f t="array" ref="C62">SUM(C53:C61)</f>
        <v>0</v>
      </c>
      <c r="D62" s="17" cm="1">
        <f t="array" ref="D62">SUM(D53:D61)</f>
        <v>0</v>
      </c>
      <c r="E62" s="17" cm="1">
        <f t="array" ref="E62">SUM(E53:E61)</f>
        <v>0</v>
      </c>
      <c r="F62" s="17" cm="1">
        <f t="array" ref="F62">SUM(F53:F61)</f>
        <v>0</v>
      </c>
      <c r="G62" s="17" cm="1">
        <f t="array" ref="G62">SUM(G53:G61)</f>
        <v>1307</v>
      </c>
      <c r="H62" s="17" cm="1">
        <f t="array" ref="H62">SUM(H53:H61)</f>
        <v>0</v>
      </c>
      <c r="I62" s="17" cm="1">
        <f t="array" ref="I62">SUM(I53:I61)</f>
        <v>0</v>
      </c>
      <c r="J62" s="17" cm="1">
        <f t="array" ref="J62">SUM(J53:J61)</f>
        <v>0</v>
      </c>
      <c r="K62" s="17" cm="1">
        <f t="array" ref="K62">SUM(K53:K61)</f>
        <v>0</v>
      </c>
      <c r="L62" s="17" cm="1">
        <f t="array" ref="L62">SUM(L53:L61)</f>
        <v>0</v>
      </c>
      <c r="M62" s="17" cm="1">
        <f t="array" ref="M62">SUM(M53:M61)</f>
        <v>1265</v>
      </c>
      <c r="N62" s="36"/>
      <c r="O62" s="11"/>
    </row>
    <row r="63" ht="15" customHeight="1">
      <c r="A63" s="37"/>
      <c r="B63" s="37"/>
      <c r="C63" s="41"/>
      <c r="D63" s="41"/>
      <c r="E63" s="41"/>
      <c r="F63" s="41"/>
      <c r="G63" s="37"/>
      <c r="H63" s="37"/>
      <c r="I63" s="37"/>
      <c r="J63" s="37"/>
      <c r="K63" s="37"/>
      <c r="L63" s="37"/>
      <c r="M63" s="37"/>
      <c r="N63" s="11"/>
      <c r="O63" s="11"/>
    </row>
    <row r="64" ht="15" customHeight="1">
      <c r="A64" s="37"/>
      <c r="B64" s="123">
        <v>43466</v>
      </c>
      <c r="C64" s="123">
        <v>43132</v>
      </c>
      <c r="D64" s="123">
        <v>43160</v>
      </c>
      <c r="E64" s="123">
        <v>43191</v>
      </c>
      <c r="F64" s="123">
        <v>43221</v>
      </c>
      <c r="G64" s="123">
        <v>43252</v>
      </c>
      <c r="H64" s="123">
        <v>43282</v>
      </c>
      <c r="I64" s="124">
        <v>42948</v>
      </c>
      <c r="J64" s="123">
        <v>42979</v>
      </c>
      <c r="K64" s="123">
        <v>43009</v>
      </c>
      <c r="L64" s="123">
        <v>43405</v>
      </c>
      <c r="M64" s="123">
        <v>43435</v>
      </c>
      <c r="N64" s="11"/>
      <c r="O64" s="11"/>
    </row>
    <row r="65" ht="15" customHeight="1">
      <c r="A65" t="s" s="87">
        <v>102</v>
      </c>
      <c r="B65" s="104" cm="1">
        <f t="array" ref="B65">B66+B67</f>
        <v>0</v>
      </c>
      <c r="C65" s="104" cm="1">
        <f t="array" ref="C65">C66+C67</f>
        <v>0</v>
      </c>
      <c r="D65" s="104" cm="1">
        <f t="array" ref="D65">D66+D67</f>
        <v>0</v>
      </c>
      <c r="E65" s="104" cm="1">
        <f t="array" ref="E65">E66+E67</f>
        <v>0</v>
      </c>
      <c r="F65" s="104" cm="1">
        <f t="array" ref="F65">F66+F67</f>
        <v>0</v>
      </c>
      <c r="G65" s="104" cm="1">
        <f t="array" ref="G65">G66+G67</f>
        <v>0</v>
      </c>
      <c r="H65" s="104" cm="1">
        <f t="array" ref="H65">H66+H67</f>
        <v>0</v>
      </c>
      <c r="I65" s="104" cm="1">
        <f t="array" ref="I65">I66+I67</f>
        <v>0</v>
      </c>
      <c r="J65" s="104" cm="1">
        <f t="array" ref="J65">J66+J67</f>
        <v>0</v>
      </c>
      <c r="K65" s="104" cm="1">
        <f t="array" ref="K65">K66+K67</f>
        <v>0</v>
      </c>
      <c r="L65" s="104" cm="1">
        <f t="array" ref="L65">L66+L67</f>
        <v>0</v>
      </c>
      <c r="M65" s="104" cm="1">
        <f t="array" ref="M65">M66+M67</f>
        <v>0</v>
      </c>
      <c r="N65" s="11"/>
      <c r="O65" s="11"/>
    </row>
    <row r="66" ht="15" customHeight="1">
      <c r="A66" t="s" s="87">
        <v>157</v>
      </c>
      <c r="B66" s="41"/>
      <c r="C66" s="41"/>
      <c r="D66" s="41"/>
      <c r="E66" s="41"/>
      <c r="F66" s="41"/>
      <c r="G66" s="143"/>
      <c r="H66" s="80"/>
      <c r="I66" s="136"/>
      <c r="J66" s="30"/>
      <c r="K66" s="30"/>
      <c r="L66" s="30"/>
      <c r="M66" s="30"/>
      <c r="N66" s="11"/>
      <c r="O66" s="11"/>
    </row>
    <row r="67" ht="15" customHeight="1">
      <c r="A67" t="s" s="87">
        <v>158</v>
      </c>
      <c r="B67" s="41"/>
      <c r="C67" s="41"/>
      <c r="D67" s="41"/>
      <c r="E67" s="41"/>
      <c r="F67" s="41"/>
      <c r="G67" s="12"/>
      <c r="H67" s="30"/>
      <c r="I67" s="11"/>
      <c r="J67" s="63"/>
      <c r="K67" s="63"/>
      <c r="L67" s="11"/>
      <c r="M67" s="11"/>
      <c r="N67" s="11"/>
      <c r="O67" s="11"/>
    </row>
    <row r="68" ht="15" customHeight="1">
      <c r="A68" s="37"/>
      <c r="B68" s="41"/>
      <c r="C68" s="41"/>
      <c r="D68" s="41"/>
      <c r="E68" s="41"/>
      <c r="F68" s="41"/>
      <c r="G68" s="12"/>
      <c r="H68" s="11"/>
      <c r="I68" s="11"/>
      <c r="J68" s="63"/>
      <c r="K68" s="63"/>
      <c r="L68" s="11"/>
      <c r="M68" s="11"/>
      <c r="N68" s="11"/>
      <c r="O68" s="11"/>
    </row>
    <row r="69" ht="15" customHeight="1">
      <c r="A69" t="s" s="87">
        <v>105</v>
      </c>
      <c r="B69" s="41"/>
      <c r="C69" s="41"/>
      <c r="D69" s="41"/>
      <c r="E69" s="41"/>
      <c r="F69" s="41"/>
      <c r="G69" s="12"/>
      <c r="H69" s="11"/>
      <c r="I69" s="11"/>
      <c r="J69" s="63"/>
      <c r="K69" s="63"/>
      <c r="L69" s="11"/>
      <c r="M69" s="11"/>
      <c r="N69" s="11"/>
      <c r="O69" s="11"/>
    </row>
    <row r="70" ht="15" customHeight="1">
      <c r="A70" t="s" s="87">
        <v>157</v>
      </c>
      <c r="B70" s="41"/>
      <c r="C70" s="41"/>
      <c r="D70" s="41"/>
      <c r="E70" s="41"/>
      <c r="F70" s="41"/>
      <c r="G70" s="12"/>
      <c r="H70" s="11"/>
      <c r="I70" s="63"/>
      <c r="J70" s="63"/>
      <c r="K70" s="63"/>
      <c r="L70" s="11"/>
      <c r="M70" s="11"/>
      <c r="N70" s="11"/>
      <c r="O70" s="11"/>
    </row>
    <row r="71" ht="15" customHeight="1">
      <c r="A71" t="s" s="87">
        <v>171</v>
      </c>
      <c r="B71" s="41"/>
      <c r="C71" s="41"/>
      <c r="D71" s="41"/>
      <c r="E71" s="41"/>
      <c r="F71" s="41"/>
      <c r="G71" s="12"/>
      <c r="H71" s="11"/>
      <c r="I71" s="11"/>
      <c r="J71" s="63"/>
      <c r="K71" s="63"/>
      <c r="L71" s="11"/>
      <c r="M71" s="11"/>
      <c r="N71" s="11"/>
      <c r="O71" s="11"/>
    </row>
    <row r="72" ht="15" customHeight="1">
      <c r="A72" t="s" s="87">
        <v>160</v>
      </c>
      <c r="B72" s="41"/>
      <c r="C72" s="41"/>
      <c r="D72" s="41"/>
      <c r="E72" s="41"/>
      <c r="F72" s="41"/>
      <c r="G72" s="12"/>
      <c r="H72" s="11"/>
      <c r="I72" s="11"/>
      <c r="J72" s="63"/>
      <c r="K72" s="63"/>
      <c r="L72" s="11"/>
      <c r="M72" s="11"/>
      <c r="N72" s="11"/>
      <c r="O72" s="11"/>
    </row>
    <row r="73" ht="15" customHeight="1">
      <c r="A73" s="37"/>
      <c r="B73" s="41"/>
      <c r="C73" s="41"/>
      <c r="D73" s="41"/>
      <c r="E73" s="41"/>
      <c r="F73" s="41"/>
      <c r="G73" s="13"/>
      <c r="H73" s="13"/>
      <c r="I73" s="13"/>
      <c r="J73" s="13"/>
      <c r="K73" s="13"/>
      <c r="L73" s="13"/>
      <c r="M73" s="13"/>
      <c r="N73" s="11"/>
      <c r="O73" s="11"/>
    </row>
    <row r="74" ht="15" customHeight="1">
      <c r="A74" t="s" s="88">
        <v>108</v>
      </c>
      <c r="B74" t="s" s="14">
        <v>9</v>
      </c>
      <c r="C74" t="s" s="14">
        <v>10</v>
      </c>
      <c r="D74" t="s" s="14">
        <v>11</v>
      </c>
      <c r="E74" t="s" s="14">
        <v>12</v>
      </c>
      <c r="F74" t="s" s="14">
        <v>13</v>
      </c>
      <c r="G74" t="s" s="14">
        <v>14</v>
      </c>
      <c r="H74" t="s" s="14">
        <v>15</v>
      </c>
      <c r="I74" t="s" s="14">
        <v>16</v>
      </c>
      <c r="J74" t="s" s="14">
        <v>17</v>
      </c>
      <c r="K74" t="s" s="14">
        <v>18</v>
      </c>
      <c r="L74" t="s" s="14">
        <v>19</v>
      </c>
      <c r="M74" t="s" s="14">
        <v>20</v>
      </c>
      <c r="N74" s="36"/>
      <c r="O74" s="11"/>
    </row>
    <row r="75" ht="15" customHeight="1">
      <c r="A75" t="s" s="33">
        <v>109</v>
      </c>
      <c r="B75" s="35"/>
      <c r="C75" s="35"/>
      <c r="D75" s="35"/>
      <c r="E75" s="35"/>
      <c r="F75" s="35"/>
      <c r="G75" s="35"/>
      <c r="H75" s="35"/>
      <c r="I75" s="35"/>
      <c r="J75" s="35"/>
      <c r="K75" s="35"/>
      <c r="L75" s="35"/>
      <c r="M75" s="35"/>
      <c r="N75" s="36"/>
      <c r="O75" s="11"/>
    </row>
    <row r="76" ht="15" customHeight="1">
      <c r="A76" t="s" s="33">
        <v>110</v>
      </c>
      <c r="B76" s="35"/>
      <c r="C76" s="35"/>
      <c r="D76" s="35"/>
      <c r="E76" s="35"/>
      <c r="F76" s="35"/>
      <c r="G76" s="35"/>
      <c r="H76" s="35"/>
      <c r="I76" s="35"/>
      <c r="J76" s="35"/>
      <c r="K76" s="35"/>
      <c r="L76" s="35"/>
      <c r="M76" s="35"/>
      <c r="N76" s="36"/>
      <c r="O76" s="11"/>
    </row>
    <row r="77" ht="15" customHeight="1">
      <c r="A77" s="37"/>
      <c r="B77" s="37"/>
      <c r="C77" s="41"/>
      <c r="D77" s="41"/>
      <c r="E77" s="41"/>
      <c r="F77" s="41"/>
      <c r="G77" s="37"/>
      <c r="H77" s="37"/>
      <c r="I77" s="37"/>
      <c r="J77" s="37"/>
      <c r="K77" s="37"/>
      <c r="L77" s="37"/>
      <c r="M77" s="37"/>
      <c r="N77" s="11"/>
      <c r="O77" s="11"/>
    </row>
    <row r="78" ht="15" customHeight="1">
      <c r="A78" t="s" s="32">
        <v>28</v>
      </c>
      <c r="B78" t="s" s="14">
        <v>9</v>
      </c>
      <c r="C78" t="s" s="14">
        <v>10</v>
      </c>
      <c r="D78" t="s" s="14">
        <v>11</v>
      </c>
      <c r="E78" t="s" s="14">
        <v>12</v>
      </c>
      <c r="F78" t="s" s="14">
        <v>13</v>
      </c>
      <c r="G78" t="s" s="14">
        <v>14</v>
      </c>
      <c r="H78" t="s" s="14">
        <v>15</v>
      </c>
      <c r="I78" t="s" s="14">
        <v>16</v>
      </c>
      <c r="J78" t="s" s="14">
        <v>17</v>
      </c>
      <c r="K78" t="s" s="14">
        <v>18</v>
      </c>
      <c r="L78" t="s" s="14">
        <v>19</v>
      </c>
      <c r="M78" t="s" s="14">
        <v>20</v>
      </c>
      <c r="N78" s="36"/>
      <c r="O78" s="11"/>
    </row>
    <row r="79" ht="15" customHeight="1">
      <c r="A79" t="s" s="42">
        <v>45</v>
      </c>
      <c r="B79" s="69" cm="1">
        <f t="array" ref="B79">B62/B33</f>
        <v>0</v>
      </c>
      <c r="C79" s="69" cm="1">
        <f t="array" ref="C79">C62/C33</f>
        <v>0</v>
      </c>
      <c r="D79" s="69" cm="1">
        <f t="array" ref="D79">D62/D33</f>
        <v>0</v>
      </c>
      <c r="E79" s="69" cm="1">
        <f t="array" ref="E79">E62/E33</f>
        <v>0</v>
      </c>
      <c r="F79" s="69" cm="1">
        <f t="array" ref="F79">F62/F33</f>
        <v>0</v>
      </c>
      <c r="G79" s="69" cm="1">
        <f t="array" ref="G79">G62/G33</f>
        <v>0.924328147100424</v>
      </c>
      <c r="H79" s="69" cm="1">
        <f t="array" ref="H79">H62/H33</f>
        <v>0</v>
      </c>
      <c r="I79" s="69" cm="1">
        <f t="array" ref="I79">I62/I33</f>
        <v>0</v>
      </c>
      <c r="J79" s="69" cm="1">
        <f t="array" ref="J79">J62/J33</f>
        <v>0</v>
      </c>
      <c r="K79" s="43" cm="1">
        <f t="array" ref="K79">K62/K33</f>
        <v>0</v>
      </c>
      <c r="L79" s="43" cm="1">
        <f t="array" ref="L79">L62/L33</f>
        <v>0</v>
      </c>
      <c r="M79" s="43" cm="1">
        <f t="array" ref="M79">M62/M33</f>
        <v>0.871212121212121</v>
      </c>
      <c r="N79" s="11"/>
      <c r="O79" s="11"/>
    </row>
    <row r="80" ht="15" customHeight="1">
      <c r="A80" s="11"/>
      <c r="B80" s="11"/>
      <c r="C80" s="12"/>
      <c r="D80" s="12"/>
      <c r="E80" s="12"/>
      <c r="F80" s="12"/>
      <c r="G80" s="11"/>
      <c r="H80" s="11"/>
      <c r="I80" s="11"/>
      <c r="J80" s="11"/>
      <c r="K80" s="11"/>
      <c r="L80" s="11"/>
      <c r="M80" s="11"/>
      <c r="N80" s="11"/>
      <c r="O80" s="11"/>
    </row>
    <row r="81" ht="15" customHeight="1">
      <c r="A81" s="13"/>
      <c r="B81" s="13"/>
      <c r="C81" s="44"/>
      <c r="D81" s="44"/>
      <c r="E81" s="44"/>
      <c r="F81" s="44"/>
      <c r="G81" s="13"/>
      <c r="H81" s="13"/>
      <c r="I81" s="13"/>
      <c r="J81" s="13"/>
      <c r="K81" s="13"/>
      <c r="L81" s="13"/>
      <c r="M81" s="13"/>
      <c r="N81" s="11"/>
      <c r="O81" s="11"/>
    </row>
    <row r="82" ht="15" customHeight="1">
      <c r="A82" t="s" s="32">
        <v>46</v>
      </c>
      <c r="B82" t="s" s="14">
        <v>9</v>
      </c>
      <c r="C82" t="s" s="14">
        <v>10</v>
      </c>
      <c r="D82" t="s" s="14">
        <v>11</v>
      </c>
      <c r="E82" t="s" s="14">
        <v>12</v>
      </c>
      <c r="F82" t="s" s="14">
        <v>13</v>
      </c>
      <c r="G82" t="s" s="14">
        <v>14</v>
      </c>
      <c r="H82" t="s" s="14">
        <v>15</v>
      </c>
      <c r="I82" t="s" s="14">
        <v>16</v>
      </c>
      <c r="J82" t="s" s="14">
        <v>17</v>
      </c>
      <c r="K82" t="s" s="14">
        <v>18</v>
      </c>
      <c r="L82" t="s" s="14">
        <v>19</v>
      </c>
      <c r="M82" t="s" s="14">
        <v>20</v>
      </c>
      <c r="N82" s="36"/>
      <c r="O82" s="11"/>
    </row>
    <row r="83" ht="15" customHeight="1">
      <c r="A83" t="s" s="42">
        <v>47</v>
      </c>
      <c r="B83" s="89"/>
      <c r="C83" s="89"/>
      <c r="D83" s="89"/>
      <c r="E83" s="89"/>
      <c r="F83" s="89"/>
      <c r="G83" s="105">
        <v>104</v>
      </c>
      <c r="H83" s="30"/>
      <c r="I83" s="30"/>
      <c r="J83" s="30"/>
      <c r="K83" s="30"/>
      <c r="L83" s="30"/>
      <c r="M83" s="105">
        <v>97</v>
      </c>
      <c r="N83" s="11"/>
      <c r="O83" s="11"/>
    </row>
    <row r="84" ht="15" customHeight="1">
      <c r="A84" t="s" s="54">
        <v>48</v>
      </c>
      <c r="B84" s="12"/>
      <c r="C84" s="12"/>
      <c r="D84" s="12"/>
      <c r="E84" s="12"/>
      <c r="F84" s="12"/>
      <c r="G84" s="103">
        <v>67</v>
      </c>
      <c r="H84" s="11"/>
      <c r="I84" s="11"/>
      <c r="J84" s="11"/>
      <c r="K84" s="11"/>
      <c r="L84" s="11"/>
      <c r="M84" s="103">
        <v>66</v>
      </c>
      <c r="N84" s="11"/>
      <c r="O84" s="11"/>
    </row>
    <row r="85" ht="15" customHeight="1">
      <c r="A85" t="s" s="54">
        <v>49</v>
      </c>
      <c r="B85" s="12"/>
      <c r="C85" s="12"/>
      <c r="D85" s="12"/>
      <c r="E85" s="12"/>
      <c r="F85" s="12"/>
      <c r="G85" s="103">
        <v>21</v>
      </c>
      <c r="H85" s="11"/>
      <c r="I85" s="11"/>
      <c r="J85" s="11"/>
      <c r="K85" s="11"/>
      <c r="L85" s="11"/>
      <c r="M85" s="103">
        <v>24</v>
      </c>
      <c r="N85" s="11"/>
      <c r="O85" s="11"/>
    </row>
    <row r="86" ht="15" customHeight="1">
      <c r="A86" t="s" s="54">
        <v>50</v>
      </c>
      <c r="B86" s="12"/>
      <c r="C86" s="12"/>
      <c r="D86" s="12"/>
      <c r="E86" s="12"/>
      <c r="F86" s="12"/>
      <c r="G86" s="103">
        <v>38</v>
      </c>
      <c r="H86" s="12"/>
      <c r="I86" s="12"/>
      <c r="J86" s="11"/>
      <c r="K86" s="11"/>
      <c r="L86" s="11"/>
      <c r="M86" s="103">
        <v>38</v>
      </c>
      <c r="N86" s="11"/>
      <c r="O86" s="11"/>
    </row>
    <row r="87" ht="15" customHeight="1">
      <c r="A87" t="s" s="54">
        <v>33</v>
      </c>
      <c r="B87" s="12"/>
      <c r="C87" s="12"/>
      <c r="D87" s="12"/>
      <c r="E87" s="12"/>
      <c r="F87" s="12"/>
      <c r="G87" s="103" cm="1">
        <f t="array" ref="G87">92+19</f>
        <v>111</v>
      </c>
      <c r="H87" s="11"/>
      <c r="I87" s="11"/>
      <c r="J87" s="11"/>
      <c r="K87" s="11"/>
      <c r="L87" s="11"/>
      <c r="M87" s="103" cm="1">
        <f t="array" ref="M87">88+36</f>
        <v>124</v>
      </c>
      <c r="N87" s="11"/>
      <c r="O87" s="11"/>
    </row>
    <row r="88" ht="15" customHeight="1">
      <c r="A88" t="s" s="54">
        <v>54</v>
      </c>
      <c r="B88" s="12"/>
      <c r="C88" s="12"/>
      <c r="D88" s="12"/>
      <c r="E88" s="12"/>
      <c r="F88" s="12"/>
      <c r="G88" s="103">
        <v>75</v>
      </c>
      <c r="H88" s="11"/>
      <c r="I88" s="11"/>
      <c r="J88" s="11"/>
      <c r="K88" s="11"/>
      <c r="L88" s="11"/>
      <c r="M88" s="103">
        <v>70</v>
      </c>
      <c r="N88" s="11"/>
      <c r="O88" s="11"/>
    </row>
    <row r="89" ht="15" customHeight="1">
      <c r="A89" t="s" s="54">
        <v>89</v>
      </c>
      <c r="B89" s="12"/>
      <c r="C89" s="12"/>
      <c r="D89" s="12"/>
      <c r="E89" s="12"/>
      <c r="F89" s="12"/>
      <c r="G89" s="103">
        <v>0</v>
      </c>
      <c r="H89" s="11"/>
      <c r="I89" s="11"/>
      <c r="J89" s="11"/>
      <c r="K89" s="11"/>
      <c r="L89" s="11"/>
      <c r="M89" s="103">
        <v>0</v>
      </c>
      <c r="N89" s="11"/>
      <c r="O89" s="11"/>
    </row>
    <row r="90" ht="15" customHeight="1">
      <c r="A90" t="s" s="54">
        <v>51</v>
      </c>
      <c r="B90" s="12"/>
      <c r="C90" s="12"/>
      <c r="D90" s="12"/>
      <c r="E90" s="12"/>
      <c r="F90" s="12"/>
      <c r="G90" s="103" cm="1">
        <f t="array" ref="G90">72+30</f>
        <v>102</v>
      </c>
      <c r="H90" s="11"/>
      <c r="I90" s="11"/>
      <c r="J90" s="11"/>
      <c r="K90" s="11"/>
      <c r="L90" s="11"/>
      <c r="M90" s="103">
        <v>91</v>
      </c>
      <c r="N90" s="11"/>
      <c r="O90" s="11"/>
    </row>
    <row r="91" ht="15" customHeight="1">
      <c r="A91" t="s" s="54">
        <v>41</v>
      </c>
      <c r="B91" s="12"/>
      <c r="C91" s="12"/>
      <c r="D91" s="12"/>
      <c r="E91" s="12"/>
      <c r="F91" s="12"/>
      <c r="G91" s="103">
        <v>17</v>
      </c>
      <c r="H91" s="11"/>
      <c r="I91" s="11"/>
      <c r="J91" s="11"/>
      <c r="K91" s="11"/>
      <c r="L91" s="11"/>
      <c r="M91" s="103">
        <v>17</v>
      </c>
      <c r="N91" s="11"/>
      <c r="O91" s="11"/>
    </row>
    <row r="92" ht="15" customHeight="1">
      <c r="A92" t="s" s="54">
        <v>40</v>
      </c>
      <c r="B92" s="12"/>
      <c r="C92" s="12"/>
      <c r="D92" s="12"/>
      <c r="E92" s="12"/>
      <c r="F92" s="12"/>
      <c r="G92" s="103">
        <v>52</v>
      </c>
      <c r="H92" s="11"/>
      <c r="I92" s="11"/>
      <c r="J92" s="11"/>
      <c r="K92" s="11"/>
      <c r="L92" s="11"/>
      <c r="M92" s="103">
        <v>48</v>
      </c>
      <c r="N92" s="11"/>
      <c r="O92" s="11"/>
    </row>
    <row r="93" ht="15" customHeight="1">
      <c r="A93" t="s" s="54">
        <v>52</v>
      </c>
      <c r="B93" s="12"/>
      <c r="C93" s="12"/>
      <c r="D93" s="12"/>
      <c r="E93" s="12"/>
      <c r="F93" s="12"/>
      <c r="G93" s="103">
        <v>190</v>
      </c>
      <c r="H93" s="11"/>
      <c r="I93" s="11"/>
      <c r="J93" s="11"/>
      <c r="K93" s="11"/>
      <c r="L93" s="11"/>
      <c r="M93" s="103">
        <v>190</v>
      </c>
      <c r="N93" s="11"/>
      <c r="O93" s="11"/>
    </row>
    <row r="94" ht="15" customHeight="1">
      <c r="A94" t="s" s="54">
        <v>170</v>
      </c>
      <c r="B94" s="12"/>
      <c r="C94" s="12"/>
      <c r="D94" s="12"/>
      <c r="E94" s="12"/>
      <c r="F94" s="12"/>
      <c r="G94" s="103">
        <v>44</v>
      </c>
      <c r="H94" s="11"/>
      <c r="I94" s="11"/>
      <c r="J94" s="11"/>
      <c r="K94" s="11"/>
      <c r="L94" s="11"/>
      <c r="M94" s="103">
        <v>42</v>
      </c>
      <c r="N94" s="11"/>
      <c r="O94" s="11"/>
    </row>
    <row r="95" ht="15" customHeight="1">
      <c r="A95" t="s" s="54">
        <v>90</v>
      </c>
      <c r="B95" s="12"/>
      <c r="C95" s="12"/>
      <c r="D95" s="12"/>
      <c r="E95" s="12"/>
      <c r="F95" s="12"/>
      <c r="G95" s="103">
        <v>15</v>
      </c>
      <c r="H95" s="11"/>
      <c r="I95" s="11"/>
      <c r="J95" s="11"/>
      <c r="K95" s="11"/>
      <c r="L95" s="11"/>
      <c r="M95" s="103">
        <v>22</v>
      </c>
      <c r="N95" s="11"/>
      <c r="O95" s="11"/>
    </row>
    <row r="96" ht="15" customHeight="1">
      <c r="A96" t="s" s="54">
        <v>88</v>
      </c>
      <c r="B96" s="12"/>
      <c r="C96" s="12"/>
      <c r="D96" s="12"/>
      <c r="E96" s="12"/>
      <c r="F96" s="12"/>
      <c r="G96" s="103">
        <v>16</v>
      </c>
      <c r="H96" s="11"/>
      <c r="I96" s="11"/>
      <c r="J96" s="11"/>
      <c r="K96" s="11"/>
      <c r="L96" s="11"/>
      <c r="M96" s="103">
        <v>14</v>
      </c>
      <c r="N96" s="11"/>
      <c r="O96" s="11"/>
    </row>
    <row r="97" ht="15" customHeight="1">
      <c r="A97" t="s" s="54">
        <v>111</v>
      </c>
      <c r="B97" s="12"/>
      <c r="C97" s="12"/>
      <c r="D97" s="12"/>
      <c r="E97" s="12"/>
      <c r="F97" s="12"/>
      <c r="G97" s="103">
        <v>17</v>
      </c>
      <c r="H97" s="11"/>
      <c r="I97" s="11"/>
      <c r="J97" s="11"/>
      <c r="K97" s="11"/>
      <c r="L97" s="11"/>
      <c r="M97" s="103">
        <v>13</v>
      </c>
      <c r="N97" s="11"/>
      <c r="O97" s="11"/>
    </row>
    <row r="98" ht="15" customHeight="1">
      <c r="A98" t="s" s="54">
        <v>112</v>
      </c>
      <c r="B98" s="12"/>
      <c r="C98" s="12"/>
      <c r="D98" s="12"/>
      <c r="E98" s="12"/>
      <c r="F98" s="12"/>
      <c r="G98" s="103">
        <v>5</v>
      </c>
      <c r="H98" s="11"/>
      <c r="I98" s="11"/>
      <c r="J98" s="11"/>
      <c r="K98" s="11"/>
      <c r="L98" s="11"/>
      <c r="M98" s="103">
        <v>2</v>
      </c>
      <c r="N98" s="11"/>
      <c r="O98" s="11"/>
    </row>
    <row r="99" ht="15" customHeight="1">
      <c r="A99" t="s" s="54">
        <v>127</v>
      </c>
      <c r="B99" s="12"/>
      <c r="C99" s="12"/>
      <c r="D99" s="12"/>
      <c r="E99" s="12"/>
      <c r="F99" s="12"/>
      <c r="G99" s="103">
        <v>29</v>
      </c>
      <c r="H99" s="11"/>
      <c r="I99" s="11"/>
      <c r="J99" s="11"/>
      <c r="K99" s="11"/>
      <c r="L99" s="11"/>
      <c r="M99" s="103">
        <v>33</v>
      </c>
      <c r="N99" s="11"/>
      <c r="O99" s="11"/>
    </row>
    <row r="100" ht="15" customHeight="1">
      <c r="A100" t="s" s="54">
        <v>125</v>
      </c>
      <c r="B100" s="12"/>
      <c r="C100" s="12"/>
      <c r="D100" s="12"/>
      <c r="E100" s="12"/>
      <c r="F100" s="12"/>
      <c r="G100" s="103">
        <v>28</v>
      </c>
      <c r="H100" s="11"/>
      <c r="I100" s="11"/>
      <c r="J100" s="11"/>
      <c r="K100" s="11"/>
      <c r="L100" s="11"/>
      <c r="M100" s="103">
        <v>24</v>
      </c>
      <c r="N100" s="11"/>
      <c r="O100" s="11"/>
    </row>
    <row r="101" ht="15" customHeight="1">
      <c r="A101" t="s" s="54">
        <v>113</v>
      </c>
      <c r="B101" s="12"/>
      <c r="C101" s="12"/>
      <c r="D101" s="12"/>
      <c r="E101" s="12"/>
      <c r="F101" s="12"/>
      <c r="G101" s="103">
        <v>58</v>
      </c>
      <c r="H101" s="11"/>
      <c r="I101" s="11"/>
      <c r="J101" s="11"/>
      <c r="K101" s="11"/>
      <c r="L101" s="11"/>
      <c r="M101" s="103">
        <v>55</v>
      </c>
      <c r="N101" s="11"/>
      <c r="O101" s="11"/>
    </row>
    <row r="102" ht="15" customHeight="1">
      <c r="A102" t="s" s="54">
        <v>22</v>
      </c>
      <c r="B102" s="103" cm="1">
        <f t="array" ref="B102">SUM(B83:B101)</f>
        <v>0</v>
      </c>
      <c r="C102" s="103" cm="1">
        <f t="array" ref="C102">SUM(C83:C101)</f>
        <v>0</v>
      </c>
      <c r="D102" s="103" cm="1">
        <f t="array" ref="D102">SUM(D83:D101)</f>
        <v>0</v>
      </c>
      <c r="E102" s="103" cm="1">
        <f t="array" ref="E102">SUM(E83:E101)</f>
        <v>0</v>
      </c>
      <c r="F102" s="103" cm="1">
        <f t="array" ref="F102">SUM(F83:F101)</f>
        <v>0</v>
      </c>
      <c r="G102" s="103" cm="1">
        <f t="array" ref="G102">SUM(G83:G101)</f>
        <v>989</v>
      </c>
      <c r="H102" s="55" cm="1">
        <f t="array" ref="H102">SUM(H83:H101)</f>
        <v>0</v>
      </c>
      <c r="I102" s="55" cm="1">
        <f t="array" ref="I102">SUM(I83:I101)</f>
        <v>0</v>
      </c>
      <c r="J102" s="55" cm="1">
        <f t="array" ref="J102">SUM(J83:J101)</f>
        <v>0</v>
      </c>
      <c r="K102" s="55" cm="1">
        <f t="array" ref="K102">SUM(K83:K101)</f>
        <v>0</v>
      </c>
      <c r="L102" s="55" cm="1">
        <f t="array" ref="L102">SUM(L83:L101)</f>
        <v>0</v>
      </c>
      <c r="M102" s="103" cm="1">
        <f t="array" ref="M102">SUM(M83:M101)</f>
        <v>970</v>
      </c>
      <c r="N102" s="11"/>
      <c r="O102" s="11"/>
    </row>
    <row r="103" ht="15" customHeight="1">
      <c r="A103" s="13"/>
      <c r="B103" s="13"/>
      <c r="C103" s="13"/>
      <c r="D103" s="13"/>
      <c r="E103" s="13"/>
      <c r="F103" s="13"/>
      <c r="G103" s="13"/>
      <c r="H103" s="13"/>
      <c r="I103" s="13"/>
      <c r="J103" s="13"/>
      <c r="K103" s="13"/>
      <c r="L103" s="13"/>
      <c r="M103" s="13"/>
      <c r="N103" s="11"/>
      <c r="O103" s="11"/>
    </row>
    <row r="104" ht="15" customHeight="1">
      <c r="A104" t="s" s="32">
        <v>28</v>
      </c>
      <c r="B104" t="s" s="14">
        <v>9</v>
      </c>
      <c r="C104" t="s" s="14">
        <v>10</v>
      </c>
      <c r="D104" t="s" s="14">
        <v>11</v>
      </c>
      <c r="E104" t="s" s="14">
        <v>12</v>
      </c>
      <c r="F104" t="s" s="14">
        <v>13</v>
      </c>
      <c r="G104" t="s" s="14">
        <v>14</v>
      </c>
      <c r="H104" t="s" s="14">
        <v>15</v>
      </c>
      <c r="I104" t="s" s="14">
        <v>16</v>
      </c>
      <c r="J104" t="s" s="14">
        <v>17</v>
      </c>
      <c r="K104" t="s" s="14">
        <v>18</v>
      </c>
      <c r="L104" t="s" s="14">
        <v>19</v>
      </c>
      <c r="M104" t="s" s="14">
        <v>20</v>
      </c>
      <c r="N104" s="36"/>
      <c r="O104" s="11"/>
    </row>
    <row r="105" ht="15" customHeight="1">
      <c r="A105" t="s" s="42">
        <v>56</v>
      </c>
      <c r="B105" s="23" cm="1">
        <f t="array" ref="B105">B11</f>
        <v>342585687</v>
      </c>
      <c r="C105" s="23" cm="1">
        <f t="array" ref="C105">C11</f>
        <v>379459625.333333</v>
      </c>
      <c r="D105" s="23" cm="1">
        <f t="array" ref="D105">D11</f>
        <v>628292614</v>
      </c>
      <c r="E105" s="23" cm="1">
        <f t="array" ref="E105">E11</f>
        <v>346336703</v>
      </c>
      <c r="F105" s="23" cm="1">
        <f t="array" ref="F105">F11</f>
        <v>455576548</v>
      </c>
      <c r="G105" s="23" cm="1">
        <f t="array" ref="G105">G11</f>
        <v>464266242</v>
      </c>
      <c r="H105" s="23" cm="1">
        <f t="array" ref="H105">H11</f>
        <v>406942660</v>
      </c>
      <c r="I105" s="23" cm="1">
        <f t="array" ref="I105">I11</f>
        <v>360869568.666667</v>
      </c>
      <c r="J105" s="23" cm="1">
        <f t="array" ref="J105">J11</f>
        <v>656777149</v>
      </c>
      <c r="K105" s="23" cm="1">
        <f t="array" ref="K105">K11</f>
        <v>441673074</v>
      </c>
      <c r="L105" s="23" cm="1">
        <f t="array" ref="L105">L11</f>
        <v>460752539</v>
      </c>
      <c r="M105" s="23" cm="1">
        <f t="array" ref="M105">M11</f>
        <v>728864587</v>
      </c>
      <c r="N105" s="11"/>
      <c r="O105" s="11"/>
    </row>
    <row r="106" ht="15" customHeight="1">
      <c r="A106" s="11"/>
      <c r="B106" s="11"/>
      <c r="C106" s="11"/>
      <c r="D106" s="11"/>
      <c r="E106" s="11"/>
      <c r="F106" s="11"/>
      <c r="G106" s="11"/>
      <c r="H106" s="11"/>
      <c r="I106" s="11"/>
      <c r="J106" s="11"/>
      <c r="K106" s="11"/>
      <c r="L106" s="11"/>
      <c r="M106" s="11"/>
      <c r="N106" s="11"/>
      <c r="O106" s="11"/>
    </row>
    <row r="107" ht="15" customHeight="1">
      <c r="A107" s="11"/>
      <c r="B107" s="11"/>
      <c r="C107" s="11"/>
      <c r="D107" s="11"/>
      <c r="E107" s="11"/>
      <c r="F107" s="11"/>
      <c r="G107" s="11"/>
      <c r="H107" s="11"/>
      <c r="I107" s="11"/>
      <c r="J107" s="11"/>
      <c r="K107" s="11"/>
      <c r="L107" s="11"/>
      <c r="M107" s="11"/>
      <c r="N107" s="11"/>
      <c r="O107" s="11"/>
    </row>
    <row r="108" ht="15" customHeight="1">
      <c r="A108" s="11"/>
      <c r="B108" s="11"/>
      <c r="C108" s="11"/>
      <c r="D108" s="11"/>
      <c r="E108" s="11"/>
      <c r="F108" s="11"/>
      <c r="G108" s="13"/>
      <c r="H108" s="11"/>
      <c r="I108" s="11"/>
      <c r="J108" s="11"/>
      <c r="K108" s="11"/>
      <c r="L108" s="11"/>
      <c r="M108" s="13"/>
      <c r="N108" s="11"/>
      <c r="O108" s="11"/>
    </row>
    <row r="109" ht="15" customHeight="1">
      <c r="A109" t="s" s="54">
        <v>161</v>
      </c>
      <c r="B109" s="11"/>
      <c r="C109" s="11"/>
      <c r="D109" s="11"/>
      <c r="E109" s="11"/>
      <c r="F109" s="158"/>
      <c r="G109" t="s" s="14">
        <v>14</v>
      </c>
      <c r="H109" s="36"/>
      <c r="I109" s="11"/>
      <c r="J109" s="11"/>
      <c r="K109" s="11"/>
      <c r="L109" s="158"/>
      <c r="M109" s="159">
        <v>45992</v>
      </c>
      <c r="N109" s="36"/>
      <c r="O109" s="11"/>
    </row>
    <row r="110" ht="15" customHeight="1">
      <c r="A110" s="11"/>
      <c r="B110" s="11"/>
      <c r="C110" s="11"/>
      <c r="D110" s="11"/>
      <c r="E110" s="11"/>
      <c r="F110" t="s" s="111">
        <v>215</v>
      </c>
      <c r="G110" t="s" s="160">
        <v>216</v>
      </c>
      <c r="H110" t="s" s="111">
        <v>84</v>
      </c>
      <c r="I110" s="11"/>
      <c r="J110" s="11"/>
      <c r="K110" s="11"/>
      <c r="L110" t="s" s="111">
        <v>215</v>
      </c>
      <c r="M110" t="s" s="160">
        <v>216</v>
      </c>
      <c r="N110" t="s" s="111">
        <v>84</v>
      </c>
      <c r="O110" s="11"/>
    </row>
    <row r="111" ht="15" customHeight="1">
      <c r="A111" t="s" s="54">
        <v>190</v>
      </c>
      <c r="B111" s="11"/>
      <c r="C111" s="11"/>
      <c r="D111" s="11"/>
      <c r="E111" t="s" s="54">
        <v>190</v>
      </c>
      <c r="F111" s="103">
        <v>6</v>
      </c>
      <c r="G111" s="103">
        <v>92</v>
      </c>
      <c r="H111" s="161" cm="1">
        <f t="array" ref="H111">G111/F111</f>
        <v>15.3333333333333</v>
      </c>
      <c r="I111" s="11"/>
      <c r="J111" s="11"/>
      <c r="K111" t="s" s="54">
        <v>190</v>
      </c>
      <c r="L111" s="103">
        <v>6</v>
      </c>
      <c r="M111" s="103">
        <v>99</v>
      </c>
      <c r="N111" s="161" cm="1">
        <f t="array" ref="N111">M111/L111</f>
        <v>16.5</v>
      </c>
      <c r="O111" s="11"/>
    </row>
    <row r="112" ht="15" customHeight="1">
      <c r="A112" t="s" s="54">
        <v>147</v>
      </c>
      <c r="B112" s="11"/>
      <c r="C112" s="11"/>
      <c r="D112" s="11"/>
      <c r="E112" t="s" s="54">
        <v>147</v>
      </c>
      <c r="F112" s="103">
        <v>28</v>
      </c>
      <c r="G112" s="103">
        <v>272</v>
      </c>
      <c r="H112" s="161" cm="1">
        <f t="array" ref="H112">G112/F112</f>
        <v>9.71428571428571</v>
      </c>
      <c r="I112" s="11"/>
      <c r="J112" s="11"/>
      <c r="K112" t="s" s="54">
        <v>147</v>
      </c>
      <c r="L112" s="103">
        <v>29</v>
      </c>
      <c r="M112" s="103">
        <v>257</v>
      </c>
      <c r="N112" s="161" cm="1">
        <f t="array" ref="N112">M112/L112</f>
        <v>8.86206896551724</v>
      </c>
      <c r="O112" s="11"/>
    </row>
    <row r="113" ht="15" customHeight="1">
      <c r="A113" t="s" s="25">
        <v>87</v>
      </c>
      <c r="B113" s="16"/>
      <c r="C113" s="16"/>
      <c r="D113" s="11"/>
      <c r="E113" t="s" s="25">
        <v>87</v>
      </c>
      <c r="F113" s="103">
        <v>5</v>
      </c>
      <c r="G113" s="103" cm="1">
        <f t="array" ref="G113">38+18</f>
        <v>56</v>
      </c>
      <c r="H113" s="161" cm="1">
        <f t="array" ref="H113">G113/F113</f>
        <v>11.2</v>
      </c>
      <c r="I113" s="11"/>
      <c r="J113" s="11"/>
      <c r="K113" t="s" s="25">
        <v>87</v>
      </c>
      <c r="L113" s="103">
        <v>5</v>
      </c>
      <c r="M113" s="103" cm="1">
        <f t="array" ref="M113">49+12</f>
        <v>61</v>
      </c>
      <c r="N113" s="161" cm="1">
        <f t="array" ref="N113">M113/L113</f>
        <v>12.2</v>
      </c>
      <c r="O113" s="11"/>
    </row>
    <row r="114" ht="15" customHeight="1">
      <c r="A114" t="s" s="25">
        <v>151</v>
      </c>
      <c r="B114" s="12"/>
      <c r="C114" s="12"/>
      <c r="D114" s="11"/>
      <c r="E114" t="s" s="25">
        <v>151</v>
      </c>
      <c r="F114" s="102">
        <v>15</v>
      </c>
      <c r="G114" s="103">
        <v>185</v>
      </c>
      <c r="H114" s="161" cm="1">
        <f t="array" ref="H114">G114/F114</f>
        <v>12.3333333333333</v>
      </c>
      <c r="I114" s="11"/>
      <c r="J114" s="11"/>
      <c r="K114" t="s" s="25">
        <v>151</v>
      </c>
      <c r="L114" s="103">
        <v>16</v>
      </c>
      <c r="M114" s="103">
        <v>181</v>
      </c>
      <c r="N114" s="161" cm="1">
        <f t="array" ref="N114">M114/L114</f>
        <v>11.3125</v>
      </c>
      <c r="O114" s="11"/>
    </row>
    <row r="115" ht="15" customHeight="1">
      <c r="A115" t="s" s="25">
        <v>207</v>
      </c>
      <c r="B115" s="12"/>
      <c r="C115" s="12"/>
      <c r="D115" s="11"/>
      <c r="E115" t="s" s="25">
        <v>207</v>
      </c>
      <c r="F115" s="102">
        <v>11</v>
      </c>
      <c r="G115" s="103">
        <v>1938</v>
      </c>
      <c r="H115" s="161" cm="1">
        <f t="array" ref="H115">G115/F115</f>
        <v>176.181818181818</v>
      </c>
      <c r="I115" t="s" s="54">
        <v>217</v>
      </c>
      <c r="J115" s="11"/>
      <c r="K115" t="s" s="25">
        <v>207</v>
      </c>
      <c r="L115" s="103">
        <v>12</v>
      </c>
      <c r="M115" s="103" cm="1">
        <f t="array" ref="M115">1446/4</f>
        <v>361.5</v>
      </c>
      <c r="N115" s="161" cm="1">
        <f t="array" ref="N115">M115/L115</f>
        <v>30.125</v>
      </c>
      <c r="O115" s="11"/>
    </row>
    <row r="116" ht="15" customHeight="1">
      <c r="A116" t="s" s="25">
        <v>205</v>
      </c>
      <c r="B116" s="12"/>
      <c r="C116" s="12"/>
      <c r="D116" s="11"/>
      <c r="E116" t="s" s="25">
        <v>205</v>
      </c>
      <c r="F116" s="102">
        <v>5</v>
      </c>
      <c r="G116" s="103" cm="1">
        <f t="array" ref="G116">64+18</f>
        <v>82</v>
      </c>
      <c r="H116" s="161" cm="1">
        <f t="array" ref="H116">G116/F116</f>
        <v>16.4</v>
      </c>
      <c r="I116" s="11"/>
      <c r="J116" s="11"/>
      <c r="K116" t="s" s="25">
        <v>205</v>
      </c>
      <c r="L116" s="103">
        <v>5</v>
      </c>
      <c r="M116" s="103">
        <v>140</v>
      </c>
      <c r="N116" s="161" cm="1">
        <f t="array" ref="N116">M116/L116</f>
        <v>28</v>
      </c>
      <c r="O116" s="11"/>
    </row>
    <row r="117" ht="15" customHeight="1">
      <c r="A117" t="s" s="25">
        <v>134</v>
      </c>
      <c r="B117" s="12"/>
      <c r="C117" s="12"/>
      <c r="D117" s="11"/>
      <c r="E117" t="s" s="25">
        <v>134</v>
      </c>
      <c r="F117" s="102">
        <v>4</v>
      </c>
      <c r="G117" s="103">
        <v>36</v>
      </c>
      <c r="H117" s="161" cm="1">
        <f t="array" ref="H117">G117/F117</f>
        <v>9</v>
      </c>
      <c r="I117" s="11"/>
      <c r="J117" s="11"/>
      <c r="K117" t="s" s="25">
        <v>134</v>
      </c>
      <c r="L117" s="102">
        <v>4</v>
      </c>
      <c r="M117" s="103">
        <v>36</v>
      </c>
      <c r="N117" s="161" cm="1">
        <f t="array" ref="N117">M117/L117</f>
        <v>9</v>
      </c>
      <c r="O117" s="11"/>
    </row>
    <row r="118" ht="15" customHeight="1">
      <c r="A118" t="s" s="25">
        <v>218</v>
      </c>
      <c r="B118" s="12"/>
      <c r="C118" s="12"/>
      <c r="D118" s="11"/>
      <c r="E118" t="s" s="25">
        <v>218</v>
      </c>
      <c r="F118" s="102">
        <v>6</v>
      </c>
      <c r="G118" s="103" cm="1">
        <f t="array" ref="G118">13*6</f>
        <v>78</v>
      </c>
      <c r="H118" s="161" cm="1">
        <f t="array" ref="H118">G118/F118</f>
        <v>13</v>
      </c>
      <c r="I118" s="11"/>
      <c r="J118" s="11"/>
      <c r="K118" t="s" s="25">
        <v>218</v>
      </c>
      <c r="L118" s="103">
        <v>6</v>
      </c>
      <c r="M118" s="103">
        <v>71</v>
      </c>
      <c r="N118" s="161" cm="1">
        <f t="array" ref="N118">M118/L118</f>
        <v>11.8333333333333</v>
      </c>
      <c r="O118" s="11"/>
    </row>
    <row r="119" ht="15" customHeight="1">
      <c r="A119" t="s" s="25">
        <v>219</v>
      </c>
      <c r="B119" s="12"/>
      <c r="C119" s="12"/>
      <c r="D119" s="11"/>
      <c r="E119" t="s" s="25">
        <v>219</v>
      </c>
      <c r="F119" s="103">
        <v>21</v>
      </c>
      <c r="G119" s="103" cm="1">
        <f t="array" ref="G119">84+125</f>
        <v>209</v>
      </c>
      <c r="H119" s="161" cm="1">
        <f t="array" ref="H119">G119/F119</f>
        <v>9.952380952380951</v>
      </c>
      <c r="I119" s="11"/>
      <c r="J119" s="11"/>
      <c r="K119" t="s" s="25">
        <v>219</v>
      </c>
      <c r="L119" s="103">
        <v>21</v>
      </c>
      <c r="M119" s="103">
        <v>190</v>
      </c>
      <c r="N119" s="161" cm="1">
        <f t="array" ref="N119">M119/L119</f>
        <v>9.047619047619049</v>
      </c>
      <c r="O119" s="11"/>
    </row>
    <row r="120" ht="15" customHeight="1">
      <c r="A120" s="12"/>
      <c r="B120" s="12"/>
      <c r="C120" s="12"/>
      <c r="D120" s="11"/>
      <c r="E120" s="11"/>
      <c r="F120" s="11"/>
      <c r="G120" s="11"/>
      <c r="H120" s="11"/>
      <c r="I120" s="11"/>
      <c r="J120" s="11"/>
      <c r="K120" t="s" s="54">
        <v>191</v>
      </c>
      <c r="L120" s="103" cm="1">
        <f t="array" ref="L120">SUM(L111:L119)</f>
        <v>104</v>
      </c>
      <c r="M120" s="103" cm="1">
        <f t="array" ref="M120">SUM(M111:M119)</f>
        <v>1396.5</v>
      </c>
      <c r="N120" s="161" cm="1">
        <f t="array" ref="N120">M120/L120</f>
        <v>13.4278846153846</v>
      </c>
      <c r="O120" s="11"/>
    </row>
    <row r="121" ht="15" customHeight="1">
      <c r="A121" s="11"/>
      <c r="B121" s="11"/>
      <c r="C121" s="11"/>
      <c r="D121" s="11"/>
      <c r="E121" s="11"/>
      <c r="F121" s="28"/>
      <c r="G121" s="11"/>
      <c r="H121" s="11"/>
      <c r="I121" s="11"/>
      <c r="J121" s="11"/>
      <c r="K121" t="s" s="54">
        <v>220</v>
      </c>
      <c r="L121" s="103" cm="1">
        <f t="array" ref="L121">L120-L115</f>
        <v>92</v>
      </c>
      <c r="M121" s="103" cm="1">
        <f t="array" ref="M121">M120-M115</f>
        <v>1035</v>
      </c>
      <c r="N121" s="161" cm="1">
        <f t="array" ref="N121">M121/L121</f>
        <v>11.25</v>
      </c>
      <c r="O121" s="11"/>
    </row>
    <row r="122" ht="15" customHeight="1">
      <c r="A122" s="16"/>
      <c r="B122" s="16"/>
      <c r="C122" s="16"/>
      <c r="D122" s="11"/>
      <c r="E122" s="11"/>
      <c r="F122" s="11"/>
      <c r="G122" s="11"/>
      <c r="H122" s="11"/>
      <c r="I122" s="11"/>
      <c r="J122" s="11"/>
      <c r="K122" s="11"/>
      <c r="L122" s="11"/>
      <c r="M122" s="11"/>
      <c r="N122" s="11"/>
      <c r="O122" s="11"/>
    </row>
    <row r="123" ht="15" customHeight="1">
      <c r="A123" s="12"/>
      <c r="B123" s="12"/>
      <c r="C123" s="113"/>
      <c r="D123" s="11"/>
      <c r="E123" s="11"/>
      <c r="F123" s="11"/>
      <c r="G123" s="11"/>
      <c r="H123" s="11"/>
      <c r="I123" s="11"/>
      <c r="J123" s="11"/>
      <c r="K123" s="11"/>
      <c r="L123" s="11"/>
      <c r="M123" s="11"/>
      <c r="N123" s="11"/>
      <c r="O123" s="11"/>
    </row>
    <row r="124" ht="15" customHeight="1">
      <c r="A124" s="12"/>
      <c r="B124" s="12"/>
      <c r="C124" s="113"/>
      <c r="D124" s="11"/>
      <c r="E124" s="11"/>
      <c r="F124" s="11"/>
      <c r="G124" s="11"/>
      <c r="H124" s="11"/>
      <c r="I124" s="11"/>
      <c r="J124" s="11"/>
      <c r="K124" s="11"/>
      <c r="L124" s="11"/>
      <c r="M124" s="11"/>
      <c r="N124" s="11"/>
      <c r="O124" s="11"/>
    </row>
    <row r="125" ht="15" customHeight="1">
      <c r="A125" s="11"/>
      <c r="B125" s="12"/>
      <c r="C125" s="11"/>
      <c r="D125" s="11"/>
      <c r="E125" s="11"/>
      <c r="F125" s="11"/>
      <c r="G125" s="11"/>
      <c r="H125" s="11"/>
      <c r="I125" s="11"/>
      <c r="J125" s="11"/>
      <c r="K125" s="11"/>
      <c r="L125" s="11"/>
      <c r="M125" s="11"/>
      <c r="N125" s="11"/>
      <c r="O125" s="11"/>
    </row>
    <row r="126" ht="15" customHeight="1">
      <c r="A126" s="11"/>
      <c r="B126" s="11"/>
      <c r="C126" s="11"/>
      <c r="D126" s="11"/>
      <c r="E126" s="11"/>
      <c r="F126" s="11"/>
      <c r="G126" s="11"/>
      <c r="H126" s="11"/>
      <c r="I126" s="11"/>
      <c r="J126" s="11"/>
      <c r="K126" s="11"/>
      <c r="L126" s="11"/>
      <c r="M126" s="11"/>
      <c r="N126" s="11"/>
      <c r="O126" s="11"/>
    </row>
    <row r="127" ht="15" customHeight="1">
      <c r="A127" s="16"/>
      <c r="B127" s="16"/>
      <c r="C127" s="16"/>
      <c r="D127" s="11"/>
      <c r="E127" s="11"/>
      <c r="F127" s="11"/>
      <c r="G127" s="11"/>
      <c r="H127" s="11"/>
      <c r="I127" s="11"/>
      <c r="J127" s="11"/>
      <c r="K127" s="11"/>
      <c r="L127" s="11"/>
      <c r="M127" s="11"/>
      <c r="N127" s="11"/>
      <c r="O127" s="11"/>
    </row>
    <row r="128" ht="15" customHeight="1">
      <c r="A128" s="12"/>
      <c r="B128" s="12"/>
      <c r="C128" s="113"/>
      <c r="D128" s="11"/>
      <c r="E128" s="11"/>
      <c r="F128" s="11"/>
      <c r="G128" s="11"/>
      <c r="H128" s="11"/>
      <c r="I128" s="11"/>
      <c r="J128" s="11"/>
      <c r="K128" s="11"/>
      <c r="L128" s="11"/>
      <c r="M128" s="11"/>
      <c r="N128" s="11"/>
      <c r="O128" s="11"/>
    </row>
    <row r="129" ht="15" customHeight="1">
      <c r="A129" s="12"/>
      <c r="B129" s="12"/>
      <c r="C129" s="113"/>
      <c r="D129" s="11"/>
      <c r="E129" s="11"/>
      <c r="F129" s="11"/>
      <c r="G129" s="11"/>
      <c r="H129" s="11"/>
      <c r="I129" s="11"/>
      <c r="J129" s="11"/>
      <c r="K129" s="11"/>
      <c r="L129" s="11"/>
      <c r="M129" s="11"/>
      <c r="N129" s="11"/>
      <c r="O129" s="11"/>
    </row>
    <row r="130" ht="15" customHeight="1">
      <c r="A130" s="12"/>
      <c r="B130" s="12"/>
      <c r="C130" s="11"/>
      <c r="D130" s="11"/>
      <c r="E130" s="11"/>
      <c r="F130" s="11"/>
      <c r="G130" s="11"/>
      <c r="H130" s="11"/>
      <c r="I130" s="11"/>
      <c r="J130" s="11"/>
      <c r="K130" s="11"/>
      <c r="L130" s="11"/>
      <c r="M130" s="11"/>
      <c r="N130" s="11"/>
      <c r="O130" s="11"/>
    </row>
    <row r="131" ht="15" customHeight="1">
      <c r="A131" s="11"/>
      <c r="B131" s="11"/>
      <c r="C131" s="11"/>
      <c r="D131" s="11"/>
      <c r="E131" s="11"/>
      <c r="F131" s="11"/>
      <c r="G131" s="11"/>
      <c r="H131" s="11"/>
      <c r="I131" s="11"/>
      <c r="J131" s="11"/>
      <c r="K131" s="11"/>
      <c r="L131" s="11"/>
      <c r="M131" s="11"/>
      <c r="N131" s="11"/>
      <c r="O131" s="11"/>
    </row>
    <row r="132" ht="15" customHeight="1">
      <c r="A132" s="16"/>
      <c r="B132" s="16"/>
      <c r="C132" s="16"/>
      <c r="D132" s="11"/>
      <c r="E132" s="11"/>
      <c r="F132" s="11"/>
      <c r="G132" s="11"/>
      <c r="H132" s="11"/>
      <c r="I132" s="11"/>
      <c r="J132" s="11"/>
      <c r="K132" s="11"/>
      <c r="L132" s="11"/>
      <c r="M132" s="11"/>
      <c r="N132" s="11"/>
      <c r="O132" s="11"/>
    </row>
    <row r="133" ht="15" customHeight="1">
      <c r="A133" s="12"/>
      <c r="B133" s="12"/>
      <c r="C133" s="113"/>
      <c r="D133" s="11"/>
      <c r="E133" s="11"/>
      <c r="F133" s="11"/>
      <c r="G133" s="11"/>
      <c r="H133" s="11"/>
      <c r="I133" s="11"/>
      <c r="J133" s="11"/>
      <c r="K133" s="11"/>
      <c r="L133" s="11"/>
      <c r="M133" s="11"/>
      <c r="N133" s="11"/>
      <c r="O133" s="11"/>
    </row>
    <row r="134" ht="15" customHeight="1">
      <c r="A134" s="12"/>
      <c r="B134" s="12"/>
      <c r="C134" s="113"/>
      <c r="D134" s="11"/>
      <c r="E134" s="11"/>
      <c r="F134" s="11"/>
      <c r="G134" s="11"/>
      <c r="H134" s="11"/>
      <c r="I134" s="11"/>
      <c r="J134" s="11"/>
      <c r="K134" s="11"/>
      <c r="L134" s="11"/>
      <c r="M134" s="11"/>
      <c r="N134" s="11"/>
      <c r="O134" s="11"/>
    </row>
    <row r="135" ht="15" customHeight="1">
      <c r="A135" s="12"/>
      <c r="B135" s="12"/>
      <c r="C135" s="113"/>
      <c r="D135" s="11"/>
      <c r="E135" s="11"/>
      <c r="F135" s="11"/>
      <c r="G135" s="11"/>
      <c r="H135" s="11"/>
      <c r="I135" s="11"/>
      <c r="J135" s="11"/>
      <c r="K135" s="11"/>
      <c r="L135" s="11"/>
      <c r="M135" s="11"/>
      <c r="N135" s="11"/>
      <c r="O135" s="11"/>
    </row>
    <row r="136" ht="15" customHeight="1">
      <c r="A136" s="12"/>
      <c r="B136" s="12"/>
      <c r="C136" s="113"/>
      <c r="D136" s="11"/>
      <c r="E136" s="11"/>
      <c r="F136" s="11"/>
      <c r="G136" s="11"/>
      <c r="H136" s="11"/>
      <c r="I136" s="11"/>
      <c r="J136" s="11"/>
      <c r="K136" s="11"/>
      <c r="L136" s="11"/>
      <c r="M136" s="11"/>
      <c r="N136" s="11"/>
      <c r="O136" s="11"/>
    </row>
    <row r="137" ht="15" customHeight="1">
      <c r="A137" s="12"/>
      <c r="B137" s="12"/>
      <c r="C137" s="113"/>
      <c r="D137" s="11"/>
      <c r="E137" s="11"/>
      <c r="F137" s="11"/>
      <c r="G137" s="11"/>
      <c r="H137" s="11"/>
      <c r="I137" s="11"/>
      <c r="J137" s="11"/>
      <c r="K137" s="11"/>
      <c r="L137" s="11"/>
      <c r="M137" s="11"/>
      <c r="N137" s="11"/>
      <c r="O137" s="11"/>
    </row>
    <row r="138" ht="15" customHeight="1">
      <c r="A138" s="12"/>
      <c r="B138" s="12"/>
      <c r="C138" s="113"/>
      <c r="D138" s="11"/>
      <c r="E138" s="11"/>
      <c r="F138" s="11"/>
      <c r="G138" s="11"/>
      <c r="H138" s="11"/>
      <c r="I138" s="11"/>
      <c r="J138" s="11"/>
      <c r="K138" s="11"/>
      <c r="L138" s="11"/>
      <c r="M138" s="11"/>
      <c r="N138" s="11"/>
      <c r="O138" s="11"/>
    </row>
    <row r="139" ht="15" customHeight="1">
      <c r="A139" s="12"/>
      <c r="B139" s="12"/>
      <c r="C139" s="12"/>
      <c r="D139" s="11"/>
      <c r="E139" s="11"/>
      <c r="F139" s="11"/>
      <c r="G139" s="11"/>
      <c r="H139" s="11"/>
      <c r="I139" s="11"/>
      <c r="J139" s="11"/>
      <c r="K139" s="11"/>
      <c r="L139" s="11"/>
      <c r="M139" s="11"/>
      <c r="N139" s="11"/>
      <c r="O139" s="11"/>
    </row>
    <row r="140" ht="15" customHeight="1">
      <c r="A140" s="12"/>
      <c r="B140" s="11"/>
      <c r="C140" s="11"/>
      <c r="D140" s="11"/>
      <c r="E140" s="11"/>
      <c r="F140" s="11"/>
      <c r="G140" s="11"/>
      <c r="H140" s="11"/>
      <c r="I140" s="11"/>
      <c r="J140" s="11"/>
      <c r="K140" s="11"/>
      <c r="L140" s="11"/>
      <c r="M140" s="11"/>
      <c r="N140" s="11"/>
      <c r="O140" s="11"/>
    </row>
    <row r="141" ht="15" customHeight="1">
      <c r="A141" s="11"/>
      <c r="B141" s="11"/>
      <c r="C141" s="11"/>
      <c r="D141" s="11"/>
      <c r="E141" s="11"/>
      <c r="F141" s="11"/>
      <c r="G141" s="11"/>
      <c r="H141" s="11"/>
      <c r="I141" s="11"/>
      <c r="J141" s="11"/>
      <c r="K141" s="11"/>
      <c r="L141" s="11"/>
      <c r="M141" s="11"/>
      <c r="N141" s="11"/>
      <c r="O141" s="11"/>
    </row>
    <row r="142" ht="15" customHeight="1">
      <c r="A142" s="16"/>
      <c r="B142" s="16"/>
      <c r="C142" s="16"/>
      <c r="D142" s="11"/>
      <c r="E142" s="11"/>
      <c r="F142" s="11"/>
      <c r="G142" s="11"/>
      <c r="H142" s="11"/>
      <c r="I142" s="11"/>
      <c r="J142" s="11"/>
      <c r="K142" s="11"/>
      <c r="L142" s="11"/>
      <c r="M142" s="11"/>
      <c r="N142" s="11"/>
      <c r="O142" s="11"/>
    </row>
    <row r="143" ht="15" customHeight="1">
      <c r="A143" s="12"/>
      <c r="B143" s="12"/>
      <c r="C143" s="113"/>
      <c r="D143" s="11"/>
      <c r="E143" s="11"/>
      <c r="F143" s="11"/>
      <c r="G143" s="11"/>
      <c r="H143" s="11"/>
      <c r="I143" s="11"/>
      <c r="J143" s="11"/>
      <c r="K143" s="11"/>
      <c r="L143" s="11"/>
      <c r="M143" s="11"/>
      <c r="N143" s="11"/>
      <c r="O143" s="11"/>
    </row>
    <row r="144" ht="15" customHeight="1">
      <c r="A144" s="12"/>
      <c r="B144" s="12"/>
      <c r="C144" s="113"/>
      <c r="D144" s="11"/>
      <c r="E144" s="11"/>
      <c r="F144" s="11"/>
      <c r="G144" s="11"/>
      <c r="H144" s="11"/>
      <c r="I144" s="11"/>
      <c r="J144" s="11"/>
      <c r="K144" s="11"/>
      <c r="L144" s="11"/>
      <c r="M144" s="11"/>
      <c r="N144" s="11"/>
      <c r="O144" s="11"/>
    </row>
    <row r="145" ht="15" customHeight="1">
      <c r="A145" s="12"/>
      <c r="B145" s="12"/>
      <c r="C145" s="113"/>
      <c r="D145" s="11"/>
      <c r="E145" s="11"/>
      <c r="F145" s="11"/>
      <c r="G145" s="11"/>
      <c r="H145" s="11"/>
      <c r="I145" s="11"/>
      <c r="J145" s="11"/>
      <c r="K145" s="11"/>
      <c r="L145" s="11"/>
      <c r="M145" s="11"/>
      <c r="N145" s="11"/>
      <c r="O145" s="11"/>
    </row>
    <row r="146" ht="15" customHeight="1">
      <c r="A146" s="12"/>
      <c r="B146" s="12"/>
      <c r="C146" s="113"/>
      <c r="D146" s="11"/>
      <c r="E146" s="11"/>
      <c r="F146" s="11"/>
      <c r="G146" s="11"/>
      <c r="H146" s="11"/>
      <c r="I146" s="11"/>
      <c r="J146" s="11"/>
      <c r="K146" s="11"/>
      <c r="L146" s="11"/>
      <c r="M146" s="11"/>
      <c r="N146" s="11"/>
      <c r="O146" s="11"/>
    </row>
    <row r="147" ht="15" customHeight="1">
      <c r="A147" s="12"/>
      <c r="B147" s="12"/>
      <c r="C147" s="113"/>
      <c r="D147" s="11"/>
      <c r="E147" s="11"/>
      <c r="F147" s="11"/>
      <c r="G147" s="11"/>
      <c r="H147" s="11"/>
      <c r="I147" s="11"/>
      <c r="J147" s="11"/>
      <c r="K147" s="11"/>
      <c r="L147" s="11"/>
      <c r="M147" s="11"/>
      <c r="N147" s="11"/>
      <c r="O147" s="11"/>
    </row>
    <row r="148" ht="15" customHeight="1">
      <c r="A148" s="12"/>
      <c r="B148" s="12"/>
      <c r="C148" s="113"/>
      <c r="D148" s="11"/>
      <c r="E148" s="11"/>
      <c r="F148" s="11"/>
      <c r="G148" s="11"/>
      <c r="H148" s="11"/>
      <c r="I148" s="11"/>
      <c r="J148" s="11"/>
      <c r="K148" s="11"/>
      <c r="L148" s="11"/>
      <c r="M148" s="11"/>
      <c r="N148" s="11"/>
      <c r="O148" s="11"/>
    </row>
    <row r="149" ht="15" customHeight="1">
      <c r="A149" s="12"/>
      <c r="B149" s="12"/>
      <c r="C149" s="113"/>
      <c r="D149" s="11"/>
      <c r="E149" s="11"/>
      <c r="F149" s="11"/>
      <c r="G149" s="11"/>
      <c r="H149" s="11"/>
      <c r="I149" s="11"/>
      <c r="J149" s="11"/>
      <c r="K149" s="11"/>
      <c r="L149" s="11"/>
      <c r="M149" s="11"/>
      <c r="N149" s="11"/>
      <c r="O149" s="11"/>
    </row>
    <row r="150" ht="15" customHeight="1">
      <c r="A150" s="12"/>
      <c r="B150" s="12"/>
      <c r="C150" s="113"/>
      <c r="D150" s="11"/>
      <c r="E150" s="11"/>
      <c r="F150" s="11"/>
      <c r="G150" s="11"/>
      <c r="H150" s="11"/>
      <c r="I150" s="11"/>
      <c r="J150" s="11"/>
      <c r="K150" s="11"/>
      <c r="L150" s="11"/>
      <c r="M150" s="11"/>
      <c r="N150" s="11"/>
      <c r="O150" s="11"/>
    </row>
    <row r="151" ht="15" customHeight="1">
      <c r="A151" s="12"/>
      <c r="B151" s="12"/>
      <c r="C151" s="12"/>
      <c r="D151" s="11"/>
      <c r="E151" s="11"/>
      <c r="F151" s="11"/>
      <c r="G151" s="11"/>
      <c r="H151" s="11"/>
      <c r="I151" s="11"/>
      <c r="J151" s="11"/>
      <c r="K151" s="11"/>
      <c r="L151" s="11"/>
      <c r="M151" s="11"/>
      <c r="N151" s="11"/>
      <c r="O151" s="11"/>
    </row>
    <row r="152" ht="15" customHeight="1">
      <c r="A152" s="11"/>
      <c r="B152" s="11"/>
      <c r="C152" s="11"/>
      <c r="D152" s="11"/>
      <c r="E152" s="11"/>
      <c r="F152" s="11"/>
      <c r="G152" s="11"/>
      <c r="H152" s="11"/>
      <c r="I152" s="11"/>
      <c r="J152" s="11"/>
      <c r="K152" s="11"/>
      <c r="L152" s="11"/>
      <c r="M152" s="11"/>
      <c r="N152" s="11"/>
      <c r="O152" s="11"/>
    </row>
    <row r="153" ht="15" customHeight="1">
      <c r="A153" s="11"/>
      <c r="B153" s="11"/>
      <c r="C153" s="11"/>
      <c r="D153" s="11"/>
      <c r="E153" s="11"/>
      <c r="F153" s="11"/>
      <c r="G153" s="11"/>
      <c r="H153" s="11"/>
      <c r="I153" s="11"/>
      <c r="J153" s="11"/>
      <c r="K153" s="11"/>
      <c r="L153" s="11"/>
      <c r="M153" s="11"/>
      <c r="N153" s="11"/>
      <c r="O153" s="11"/>
    </row>
    <row r="154" ht="15" customHeight="1">
      <c r="A154" s="11"/>
      <c r="B154" s="11"/>
      <c r="C154" s="11"/>
      <c r="D154" s="11"/>
      <c r="E154" s="11"/>
      <c r="F154" s="11"/>
      <c r="G154" s="11"/>
      <c r="H154" s="11"/>
      <c r="I154" s="11"/>
      <c r="J154" s="11"/>
      <c r="K154" s="11"/>
      <c r="L154" s="11"/>
      <c r="M154" s="11"/>
      <c r="N154" s="11"/>
      <c r="O154" s="11"/>
    </row>
    <row r="155" ht="15" customHeight="1">
      <c r="A155" s="11"/>
      <c r="B155" s="11"/>
      <c r="C155" s="11"/>
      <c r="D155" s="11"/>
      <c r="E155" s="11"/>
      <c r="F155" s="11"/>
      <c r="G155" s="11"/>
      <c r="H155" s="11"/>
      <c r="I155" s="11"/>
      <c r="J155" s="11"/>
      <c r="K155" s="11"/>
      <c r="L155" s="11"/>
      <c r="M155" s="11"/>
      <c r="N155" s="11"/>
      <c r="O155" s="11"/>
    </row>
    <row r="156" ht="15" customHeight="1">
      <c r="A156" s="11"/>
      <c r="B156" s="11"/>
      <c r="C156" s="11"/>
      <c r="D156" s="11"/>
      <c r="E156" s="11"/>
      <c r="F156" s="11"/>
      <c r="G156" s="11"/>
      <c r="H156" s="11"/>
      <c r="I156" s="11"/>
      <c r="J156" s="11"/>
      <c r="K156" s="11"/>
      <c r="L156" s="11"/>
      <c r="M156" s="11"/>
      <c r="N156" s="11"/>
      <c r="O156" s="11"/>
    </row>
    <row r="157" ht="15" customHeight="1">
      <c r="A157" s="11"/>
      <c r="B157" s="11"/>
      <c r="C157" s="11"/>
      <c r="D157" s="11"/>
      <c r="E157" s="11"/>
      <c r="F157" s="11"/>
      <c r="G157" s="11"/>
      <c r="H157" s="11"/>
      <c r="I157" s="11"/>
      <c r="J157" s="11"/>
      <c r="K157" s="11"/>
      <c r="L157" s="11"/>
      <c r="M157" s="11"/>
      <c r="N157" s="11"/>
      <c r="O157" s="11"/>
    </row>
    <row r="158" ht="15" customHeight="1">
      <c r="A158" s="11"/>
      <c r="B158" s="11"/>
      <c r="C158" s="11"/>
      <c r="D158" s="11"/>
      <c r="E158" s="11"/>
      <c r="F158" s="11"/>
      <c r="G158" s="11"/>
      <c r="H158" s="11"/>
      <c r="I158" s="11"/>
      <c r="J158" s="11"/>
      <c r="K158" s="11"/>
      <c r="L158" s="11"/>
      <c r="M158" s="11"/>
      <c r="N158" s="11"/>
      <c r="O158" s="11"/>
    </row>
    <row r="159" ht="15" customHeight="1">
      <c r="A159" s="11"/>
      <c r="B159" s="11"/>
      <c r="C159" s="11"/>
      <c r="D159" s="11"/>
      <c r="E159" s="11"/>
      <c r="F159" s="11"/>
      <c r="G159" s="11"/>
      <c r="H159" s="11"/>
      <c r="I159" s="11"/>
      <c r="J159" s="11"/>
      <c r="K159" s="11"/>
      <c r="L159" s="11"/>
      <c r="M159" s="11"/>
      <c r="N159" s="11"/>
      <c r="O159" s="11"/>
    </row>
    <row r="160" ht="15" customHeight="1">
      <c r="A160" s="11"/>
      <c r="B160" s="11"/>
      <c r="C160" s="11"/>
      <c r="D160" s="11"/>
      <c r="E160" s="11"/>
      <c r="F160" s="11"/>
      <c r="G160" s="11"/>
      <c r="H160" s="11"/>
      <c r="I160" s="11"/>
      <c r="J160" s="11"/>
      <c r="K160" s="11"/>
      <c r="L160" s="11"/>
      <c r="M160" s="11"/>
      <c r="N160" s="11"/>
      <c r="O160" s="11"/>
    </row>
  </sheetData>
  <mergeCells count="4">
    <mergeCell ref="A1:M1"/>
    <mergeCell ref="A2:M2"/>
    <mergeCell ref="A28:M28"/>
    <mergeCell ref="A29:M29"/>
  </mergeCells>
  <pageMargins left="0.75" right="0.75" top="1" bottom="1" header="0.5" footer="0.5"/>
  <pageSetup firstPageNumber="1" fitToHeight="1" fitToWidth="1" scale="100" useFirstPageNumber="0" orientation="portrait" pageOrder="downThenOver"/>
  <headerFooter>
    <oddFooter>&amp;C&amp;"Helvetica,Regular"&amp;12&amp;K000000&amp;P</oddFooter>
  </headerFooter>
</worksheet>
</file>

<file path=xl/worksheets/sheet12.xml><?xml version="1.0" encoding="utf-8"?>
<worksheet xmlns:r="http://schemas.openxmlformats.org/officeDocument/2006/relationships" xmlns="http://schemas.openxmlformats.org/spreadsheetml/2006/main">
  <dimension ref="A1:O159"/>
  <sheetViews>
    <sheetView workbookViewId="0" showGridLines="0" defaultGridColor="1"/>
  </sheetViews>
  <sheetFormatPr defaultColWidth="12.5" defaultRowHeight="15" customHeight="1" outlineLevelRow="0" outlineLevelCol="0"/>
  <cols>
    <col min="1" max="1" width="28.6875" style="162" customWidth="1"/>
    <col min="2" max="2" width="15.1719" style="162" customWidth="1"/>
    <col min="3" max="3" width="14.6719" style="162" customWidth="1"/>
    <col min="4" max="4" width="17.3516" style="162" customWidth="1"/>
    <col min="5" max="5" width="15" style="162" customWidth="1"/>
    <col min="6" max="6" width="17.1094" style="162" customWidth="1"/>
    <col min="7" max="7" width="16.7109" style="162" customWidth="1"/>
    <col min="8" max="12" width="16.5" style="162" customWidth="1"/>
    <col min="13" max="13" width="19" style="162" customWidth="1"/>
    <col min="14" max="15" width="15.9375" style="162" customWidth="1"/>
    <col min="16" max="16384" width="12.5" style="162" customWidth="1"/>
  </cols>
  <sheetData>
    <row r="1" ht="23" customHeight="1">
      <c r="A1" t="s" s="7">
        <v>6</v>
      </c>
      <c r="B1" s="8"/>
      <c r="C1" s="8"/>
      <c r="D1" s="9"/>
      <c r="E1" s="9"/>
      <c r="F1" s="9"/>
      <c r="G1" s="9"/>
      <c r="H1" s="9"/>
      <c r="I1" s="9"/>
      <c r="J1" s="9"/>
      <c r="K1" s="9"/>
      <c r="L1" s="9"/>
      <c r="M1" s="9"/>
      <c r="N1" s="10"/>
      <c r="O1" s="10"/>
    </row>
    <row r="2" ht="23" customHeight="1">
      <c r="A2" t="s" s="7">
        <v>222</v>
      </c>
      <c r="B2" s="8"/>
      <c r="C2" s="8"/>
      <c r="D2" s="12"/>
      <c r="E2" s="12"/>
      <c r="F2" s="12"/>
      <c r="G2" s="12"/>
      <c r="H2" s="12"/>
      <c r="I2" s="12"/>
      <c r="J2" s="12"/>
      <c r="K2" s="12"/>
      <c r="L2" s="12"/>
      <c r="M2" s="12"/>
      <c r="N2" s="10"/>
      <c r="O2" s="10"/>
    </row>
    <row r="3" ht="15" customHeight="1">
      <c r="A3" s="13"/>
      <c r="B3" s="13"/>
      <c r="C3" s="13"/>
      <c r="D3" s="13"/>
      <c r="E3" s="13"/>
      <c r="F3" s="13"/>
      <c r="G3" s="13"/>
      <c r="H3" s="13"/>
      <c r="I3" s="13"/>
      <c r="J3" s="13"/>
      <c r="K3" s="13"/>
      <c r="L3" s="13"/>
      <c r="M3" s="13"/>
      <c r="N3" s="72"/>
      <c r="O3" s="72"/>
    </row>
    <row r="4" ht="15" customHeight="1">
      <c r="A4" t="s" s="14">
        <v>8</v>
      </c>
      <c r="B4" t="s" s="14">
        <v>9</v>
      </c>
      <c r="C4" t="s" s="14">
        <v>10</v>
      </c>
      <c r="D4" t="s" s="14">
        <v>11</v>
      </c>
      <c r="E4" t="s" s="14">
        <v>12</v>
      </c>
      <c r="F4" t="s" s="14">
        <v>13</v>
      </c>
      <c r="G4" t="s" s="14">
        <v>14</v>
      </c>
      <c r="H4" t="s" s="14">
        <v>15</v>
      </c>
      <c r="I4" t="s" s="14">
        <v>16</v>
      </c>
      <c r="J4" t="s" s="14">
        <v>17</v>
      </c>
      <c r="K4" t="s" s="14">
        <v>18</v>
      </c>
      <c r="L4" t="s" s="14">
        <v>19</v>
      </c>
      <c r="M4" t="s" s="14">
        <v>20</v>
      </c>
      <c r="N4" t="s" s="73">
        <v>223</v>
      </c>
      <c r="O4" s="91"/>
    </row>
    <row r="5" ht="15" customHeight="1">
      <c r="A5" s="17">
        <v>1</v>
      </c>
      <c r="B5" s="129">
        <v>48845420</v>
      </c>
      <c r="C5" s="129">
        <v>89523566</v>
      </c>
      <c r="D5" s="138">
        <v>79948697</v>
      </c>
      <c r="E5" s="129">
        <v>114225143</v>
      </c>
      <c r="F5" s="129">
        <v>85454421</v>
      </c>
      <c r="G5" s="129">
        <v>96089284</v>
      </c>
      <c r="H5" s="130">
        <v>110427062</v>
      </c>
      <c r="I5" s="129">
        <v>89704772</v>
      </c>
      <c r="J5" s="129">
        <v>94793587</v>
      </c>
      <c r="K5" s="129">
        <v>120552024</v>
      </c>
      <c r="L5" s="129">
        <v>74133981</v>
      </c>
      <c r="M5" s="129">
        <v>103187413</v>
      </c>
      <c r="N5" s="93"/>
      <c r="O5" s="75"/>
    </row>
    <row r="6" ht="15" customHeight="1">
      <c r="A6" s="17">
        <v>2</v>
      </c>
      <c r="B6" s="129">
        <v>69708808</v>
      </c>
      <c r="C6" s="129">
        <v>79603031</v>
      </c>
      <c r="D6" s="138">
        <v>101809488</v>
      </c>
      <c r="E6" s="129">
        <v>44838739</v>
      </c>
      <c r="F6" s="129">
        <v>157957289</v>
      </c>
      <c r="G6" s="129">
        <v>194356902</v>
      </c>
      <c r="H6" s="130">
        <v>59351620</v>
      </c>
      <c r="I6" s="129">
        <v>64456782</v>
      </c>
      <c r="J6" s="129">
        <v>85361763</v>
      </c>
      <c r="K6" s="129">
        <v>53052526</v>
      </c>
      <c r="L6" s="129">
        <v>82541534</v>
      </c>
      <c r="M6" s="129">
        <v>58169893</v>
      </c>
      <c r="N6" s="94"/>
      <c r="O6" s="19"/>
    </row>
    <row r="7" ht="15" customHeight="1">
      <c r="A7" s="17">
        <v>3</v>
      </c>
      <c r="B7" s="129">
        <v>68737776</v>
      </c>
      <c r="C7" s="129">
        <v>40745405</v>
      </c>
      <c r="D7" s="129">
        <v>49108867</v>
      </c>
      <c r="E7" s="129">
        <v>55738604</v>
      </c>
      <c r="F7" s="129">
        <v>55096481</v>
      </c>
      <c r="G7" s="129">
        <v>61413194</v>
      </c>
      <c r="H7" s="130">
        <v>92072296</v>
      </c>
      <c r="I7" s="129">
        <v>39772457</v>
      </c>
      <c r="J7" s="129">
        <v>71069768</v>
      </c>
      <c r="K7" s="129">
        <v>51725093</v>
      </c>
      <c r="L7" s="129">
        <v>64456687</v>
      </c>
      <c r="M7" s="129">
        <v>109438238</v>
      </c>
      <c r="N7" s="94"/>
      <c r="O7" s="19"/>
    </row>
    <row r="8" ht="15" customHeight="1">
      <c r="A8" s="17">
        <v>4</v>
      </c>
      <c r="B8" s="129">
        <v>73714895</v>
      </c>
      <c r="C8" s="129">
        <v>85963989</v>
      </c>
      <c r="D8" s="129">
        <v>108982024</v>
      </c>
      <c r="E8" s="129">
        <v>77876275</v>
      </c>
      <c r="F8" s="129">
        <v>55909200</v>
      </c>
      <c r="G8" s="129">
        <v>76765431</v>
      </c>
      <c r="H8" s="130">
        <v>78687903</v>
      </c>
      <c r="I8" s="129">
        <v>79317661</v>
      </c>
      <c r="J8" s="129">
        <v>56367038</v>
      </c>
      <c r="K8" s="129">
        <v>55365770</v>
      </c>
      <c r="L8" s="129">
        <v>66476196</v>
      </c>
      <c r="M8" s="129">
        <v>64739564</v>
      </c>
      <c r="N8" s="94"/>
      <c r="O8" s="19"/>
    </row>
    <row r="9" ht="15" customHeight="1">
      <c r="A9" s="17">
        <v>5</v>
      </c>
      <c r="B9" s="129"/>
      <c r="C9" s="129"/>
      <c r="D9" s="129">
        <v>95327562</v>
      </c>
      <c r="E9" s="129"/>
      <c r="F9" s="129"/>
      <c r="G9" s="129">
        <v>69883274</v>
      </c>
      <c r="H9" s="129"/>
      <c r="I9" s="129">
        <v>73406637</v>
      </c>
      <c r="J9" s="129"/>
      <c r="K9" s="129"/>
      <c r="L9" s="129">
        <v>121238341</v>
      </c>
      <c r="M9" s="129"/>
      <c r="N9" s="94"/>
      <c r="O9" s="19"/>
    </row>
    <row r="10" ht="15" customHeight="1">
      <c r="A10" t="s" s="20">
        <v>184</v>
      </c>
      <c r="B10" s="129" cm="1">
        <f t="array" ref="B10">B18*100%/15%</f>
        <v>126752400</v>
      </c>
      <c r="C10" s="129" cm="1">
        <f t="array" ref="C10">C18*100%/15%</f>
        <v>164231160</v>
      </c>
      <c r="D10" s="129" cm="1">
        <f t="array" ref="D10">D18*100%/15%</f>
        <v>170482100</v>
      </c>
      <c r="E10" s="129" cm="1">
        <f t="array" ref="E10">E18*100%/15%</f>
        <v>157933946.666667</v>
      </c>
      <c r="F10" s="129">
        <v>143329903</v>
      </c>
      <c r="G10" s="129">
        <v>196480157</v>
      </c>
      <c r="H10" s="129">
        <v>146855306</v>
      </c>
      <c r="I10" s="129" cm="1">
        <f t="array" ref="I10">I18*100%/15%</f>
        <v>152142646.666667</v>
      </c>
      <c r="J10" s="129" cm="1">
        <f t="array" ref="J10">J18*100%/15%</f>
        <v>140384646.666667</v>
      </c>
      <c r="K10" s="129" cm="1">
        <f t="array" ref="K10">K18*100%/15%</f>
        <v>146081066.666667</v>
      </c>
      <c r="L10" s="129" cm="1">
        <f t="array" ref="L10">L18*100%/15%</f>
        <v>151449053.333333</v>
      </c>
      <c r="M10" s="129">
        <v>247555513</v>
      </c>
      <c r="N10" s="94"/>
      <c r="O10" s="19"/>
    </row>
    <row r="11" ht="15" customHeight="1">
      <c r="A11" t="s" s="20">
        <v>22</v>
      </c>
      <c r="B11" s="18" cm="1">
        <f t="array" ref="B11">SUM(B5:B10)</f>
        <v>387759299</v>
      </c>
      <c r="C11" s="18" cm="1">
        <f t="array" ref="C11">SUM(C5:C10)</f>
        <v>460067151</v>
      </c>
      <c r="D11" s="18" cm="1">
        <f t="array" ref="D11">SUM(D5:D10)</f>
        <v>605658738</v>
      </c>
      <c r="E11" s="18" cm="1">
        <f t="array" ref="E11">SUM(E5:E10)</f>
        <v>450612707.666667</v>
      </c>
      <c r="F11" s="18" cm="1">
        <f t="array" ref="F11">SUM(F5:F10)</f>
        <v>497747294</v>
      </c>
      <c r="G11" s="18" cm="1">
        <f t="array" ref="G11">SUM(G5:G10)</f>
        <v>694988242</v>
      </c>
      <c r="H11" s="18" cm="1">
        <f t="array" ref="H11">SUM(H5:H10)</f>
        <v>487394187</v>
      </c>
      <c r="I11" s="18" cm="1">
        <f t="array" ref="I11">SUM(I5:I10)</f>
        <v>498800955.666667</v>
      </c>
      <c r="J11" s="18" cm="1">
        <f t="array" ref="J11">SUM(J5:J10)</f>
        <v>447976802.666667</v>
      </c>
      <c r="K11" s="18" cm="1">
        <f t="array" ref="K11">SUM(K5:K10)</f>
        <v>426776479.666667</v>
      </c>
      <c r="L11" s="18" cm="1">
        <f t="array" ref="L11">SUM(L5:L10)</f>
        <v>560295792.333333</v>
      </c>
      <c r="M11" s="18" cm="1">
        <f t="array" ref="M11">SUM(M5:M10)</f>
        <v>583090621</v>
      </c>
      <c r="N11" s="152"/>
      <c r="O11" s="19"/>
    </row>
    <row r="12" ht="15" customHeight="1">
      <c r="A12" t="s" s="20">
        <v>23</v>
      </c>
      <c r="B12" s="18" cm="1">
        <f t="array" ref="B12">AVERAGE(B5:B10)</f>
        <v>77551859.8</v>
      </c>
      <c r="C12" s="18" cm="1">
        <f t="array" ref="C12">AVERAGE(C5:C10)</f>
        <v>92013430.2</v>
      </c>
      <c r="D12" s="18" cm="1">
        <f t="array" ref="D12">AVERAGE(D5:D10)</f>
        <v>100943123</v>
      </c>
      <c r="E12" s="18" cm="1">
        <f t="array" ref="E12">AVERAGE(E5:E10)</f>
        <v>90122541.53333341</v>
      </c>
      <c r="F12" s="18" cm="1">
        <f t="array" ref="F12">AVERAGE(F5:F10)</f>
        <v>99549458.8</v>
      </c>
      <c r="G12" s="18" cm="1">
        <f t="array" ref="G12">AVERAGE(G5:G10)</f>
        <v>115831373.666667</v>
      </c>
      <c r="H12" s="18" cm="1">
        <f t="array" ref="H12">AVERAGE(H5:H10)</f>
        <v>97478837.40000001</v>
      </c>
      <c r="I12" s="18" cm="1">
        <f t="array" ref="I12">AVERAGE(I5:I10)</f>
        <v>83133492.61111119</v>
      </c>
      <c r="J12" s="18" cm="1">
        <f t="array" ref="J12">AVERAGE(J5:J10)</f>
        <v>89595360.53333341</v>
      </c>
      <c r="K12" s="18" cm="1">
        <f t="array" ref="K12">AVERAGE(K5:K10)</f>
        <v>85355295.9333334</v>
      </c>
      <c r="L12" s="18" cm="1">
        <f t="array" ref="L12">AVERAGE(L5:L10)</f>
        <v>93382632.05555549</v>
      </c>
      <c r="M12" s="18" cm="1">
        <f t="array" ref="M12">AVERAGE(M5:M10)</f>
        <v>116618124.2</v>
      </c>
      <c r="N12" s="96"/>
      <c r="O12" s="21"/>
    </row>
    <row r="13" ht="15" customHeight="1">
      <c r="A13" t="s" s="22">
        <v>24</v>
      </c>
      <c r="B13" s="23"/>
      <c r="C13" s="24" cm="1">
        <f t="array" ref="C13">C11/B11-1</f>
        <v>0.186476126263061</v>
      </c>
      <c r="D13" s="24" cm="1">
        <f t="array" ref="D13">D11/C11-1</f>
        <v>0.316457253432554</v>
      </c>
      <c r="E13" s="24" cm="1">
        <f t="array" ref="E13">E11/D11-1</f>
        <v>-0.255995696265069</v>
      </c>
      <c r="F13" s="24" cm="1">
        <f t="array" ref="F13">F11/E11-1</f>
        <v>0.104601103189926</v>
      </c>
      <c r="G13" s="24" cm="1">
        <f t="array" ref="G13">G11/F11-1</f>
        <v>0.396267243192687</v>
      </c>
      <c r="H13" s="24" cm="1">
        <f t="array" ref="H13">H11/G11-1</f>
        <v>-0.298701535442667</v>
      </c>
      <c r="I13" s="24" cm="1">
        <f t="array" ref="I13">I11/H11-1</f>
        <v>0.0234035796300275</v>
      </c>
      <c r="J13" s="24" cm="1">
        <f t="array" ref="J13">J11/I11-1</f>
        <v>-0.101892653617858</v>
      </c>
      <c r="K13" s="24" cm="1">
        <f t="array" ref="K13">K11/J11-1</f>
        <v>-0.0473246000100922</v>
      </c>
      <c r="L13" s="24" cm="1">
        <f t="array" ref="L13">L11/K11-1</f>
        <v>0.312855368156537</v>
      </c>
      <c r="M13" s="24" cm="1">
        <f t="array" ref="M13">M11/L11-1</f>
        <v>0.0406835621087546</v>
      </c>
      <c r="N13" s="10"/>
      <c r="O13" s="10"/>
    </row>
    <row r="14" ht="15" customHeight="1">
      <c r="A14" t="s" s="25">
        <v>224</v>
      </c>
      <c r="B14" s="26" cm="1">
        <f t="array" ref="B14">B11</f>
        <v>387759299</v>
      </c>
      <c r="C14" s="26" cm="1">
        <f t="array" ref="C14">C11+B14</f>
        <v>847826450</v>
      </c>
      <c r="D14" s="26" cm="1">
        <f t="array" ref="D14">D11+C14</f>
        <v>1453485188</v>
      </c>
      <c r="E14" s="26" cm="1">
        <f t="array" ref="E14">E11+D14</f>
        <v>1904097895.66667</v>
      </c>
      <c r="F14" s="26" cm="1">
        <f t="array" ref="F14">F11+E14</f>
        <v>2401845189.66667</v>
      </c>
      <c r="G14" s="26" cm="1">
        <f t="array" ref="G14">G11+F14</f>
        <v>3096833431.66667</v>
      </c>
      <c r="H14" s="26" cm="1">
        <f t="array" ref="H14">H11+G14</f>
        <v>3584227618.66667</v>
      </c>
      <c r="I14" s="26" cm="1">
        <f t="array" ref="I14">I11+H14</f>
        <v>4083028574.33334</v>
      </c>
      <c r="J14" s="26" cm="1">
        <f t="array" ref="J14">J11+I14</f>
        <v>4531005377.00001</v>
      </c>
      <c r="K14" s="26" cm="1">
        <f t="array" ref="K14">K11+J14</f>
        <v>4957781856.66668</v>
      </c>
      <c r="L14" s="26" cm="1">
        <f t="array" ref="L14">L11+K14</f>
        <v>5518077649.00001</v>
      </c>
      <c r="M14" s="26" cm="1">
        <f t="array" ref="M14">M11+L14</f>
        <v>6101168270.00001</v>
      </c>
      <c r="N14" s="76"/>
      <c r="O14" s="76"/>
    </row>
    <row r="15" ht="15" customHeight="1">
      <c r="A15" t="s" s="25">
        <v>211</v>
      </c>
      <c r="B15" s="26">
        <v>342585687</v>
      </c>
      <c r="C15" s="26">
        <v>722045312.333333</v>
      </c>
      <c r="D15" s="26">
        <v>1350337926.33333</v>
      </c>
      <c r="E15" s="26">
        <v>1696674629.33333</v>
      </c>
      <c r="F15" s="26">
        <v>2152251177.33333</v>
      </c>
      <c r="G15" s="26">
        <v>2616517419.33333</v>
      </c>
      <c r="H15" s="26">
        <v>3023460079.33333</v>
      </c>
      <c r="I15" s="26">
        <v>3384329648</v>
      </c>
      <c r="J15" s="26">
        <v>4041106797</v>
      </c>
      <c r="K15" s="26">
        <v>4482779871</v>
      </c>
      <c r="L15" s="26">
        <v>4943532410</v>
      </c>
      <c r="M15" s="26">
        <v>5672396997</v>
      </c>
      <c r="N15" s="57"/>
      <c r="O15" s="57"/>
    </row>
    <row r="16" ht="15" customHeight="1">
      <c r="A16" t="s" s="25">
        <v>225</v>
      </c>
      <c r="B16" s="28" cm="1">
        <f t="array" ref="B16">B14/B15-1</f>
        <v>0.131860768602396</v>
      </c>
      <c r="C16" s="28" cm="1">
        <f t="array" ref="C16">C14/C15-1</f>
        <v>0.174201169259305</v>
      </c>
      <c r="D16" s="28" cm="1">
        <f t="array" ref="D16">D14/D15-1</f>
        <v>0.0763862583247982</v>
      </c>
      <c r="E16" s="28" cm="1">
        <f t="array" ref="E16">E14/E15-1</f>
        <v>0.12225282487712</v>
      </c>
      <c r="F16" s="28" cm="1">
        <f t="array" ref="F16">F14/F15-1</f>
        <v>0.115968812080099</v>
      </c>
      <c r="G16" s="28" cm="1">
        <f t="array" ref="G16">G14/G15-1</f>
        <v>0.183570729850414</v>
      </c>
      <c r="H16" s="28" cm="1">
        <f t="array" ref="H16">H14/H15-1</f>
        <v>0.185472116257275</v>
      </c>
      <c r="I16" s="28" cm="1">
        <f t="array" ref="I16">I14/I15-1</f>
        <v>0.206451202750371</v>
      </c>
      <c r="J16" s="28" cm="1">
        <f t="array" ref="J16">J14/J15-1</f>
        <v>0.121228812948892</v>
      </c>
      <c r="K16" s="28" cm="1">
        <f t="array" ref="K16">K14/K15-1</f>
        <v>0.10596147911245</v>
      </c>
      <c r="L16" s="28" cm="1">
        <f t="array" ref="L16">L14/L15-1</f>
        <v>0.116221598514818</v>
      </c>
      <c r="M16" s="28" cm="1">
        <f t="array" ref="M16">M14/M15-1</f>
        <v>0.0755890804587156</v>
      </c>
      <c r="N16" s="77"/>
      <c r="O16" s="77"/>
    </row>
    <row r="17" ht="15" customHeight="1">
      <c r="A17" s="11"/>
      <c r="B17" s="28"/>
      <c r="C17" s="28"/>
      <c r="D17" s="28"/>
      <c r="E17" s="28"/>
      <c r="F17" s="28"/>
      <c r="G17" s="28"/>
      <c r="H17" s="28"/>
      <c r="I17" s="28"/>
      <c r="J17" s="28"/>
      <c r="K17" s="116"/>
      <c r="L17" s="28"/>
      <c r="M17" s="28"/>
      <c r="N17" s="10"/>
      <c r="O17" s="10"/>
    </row>
    <row r="18" ht="15" customHeight="1">
      <c r="A18" t="s" s="106">
        <v>167</v>
      </c>
      <c r="B18" s="63">
        <v>19012860</v>
      </c>
      <c r="C18" s="63">
        <v>24634674</v>
      </c>
      <c r="D18" s="63">
        <v>25572315</v>
      </c>
      <c r="E18" s="63">
        <v>23690092</v>
      </c>
      <c r="F18" s="63"/>
      <c r="G18" s="63"/>
      <c r="H18" s="63">
        <v>22028295</v>
      </c>
      <c r="I18" s="63">
        <v>22821397</v>
      </c>
      <c r="J18" s="63">
        <v>21057697</v>
      </c>
      <c r="K18" s="63">
        <v>21912160</v>
      </c>
      <c r="L18" s="63">
        <v>22717358</v>
      </c>
      <c r="M18" s="63"/>
      <c r="N18" s="10"/>
      <c r="O18" s="10"/>
    </row>
    <row r="19" ht="15" customHeight="1">
      <c r="A19" s="64"/>
      <c r="B19" s="28"/>
      <c r="C19" s="28"/>
      <c r="D19" s="28"/>
      <c r="E19" s="28"/>
      <c r="F19" s="28"/>
      <c r="G19" s="28"/>
      <c r="H19" s="28"/>
      <c r="I19" s="28"/>
      <c r="J19" s="28"/>
      <c r="K19" s="116"/>
      <c r="L19" s="28"/>
      <c r="M19" s="28"/>
      <c r="N19" s="10"/>
      <c r="O19" s="10"/>
    </row>
    <row r="20" ht="15" customHeight="1">
      <c r="A20" s="13"/>
      <c r="B20" s="29"/>
      <c r="C20" s="29"/>
      <c r="D20" s="29"/>
      <c r="E20" s="29"/>
      <c r="F20" s="13"/>
      <c r="G20" s="13"/>
      <c r="H20" s="13"/>
      <c r="I20" s="13"/>
      <c r="J20" s="13"/>
      <c r="K20" s="13"/>
      <c r="L20" s="13"/>
      <c r="M20" s="153"/>
      <c r="N20" s="10"/>
      <c r="O20" s="10"/>
    </row>
    <row r="21" ht="15" customHeight="1">
      <c r="A21" t="s" s="33">
        <v>120</v>
      </c>
      <c r="B21" s="18"/>
      <c r="C21" s="92"/>
      <c r="D21" s="18"/>
      <c r="E21" s="18"/>
      <c r="F21" s="18"/>
      <c r="G21" s="18"/>
      <c r="H21" s="18"/>
      <c r="I21" s="92"/>
      <c r="J21" s="92"/>
      <c r="K21" s="92"/>
      <c r="L21" s="18"/>
      <c r="M21" s="92"/>
      <c r="N21" s="97"/>
      <c r="O21" s="98"/>
    </row>
    <row r="22" ht="15" customHeight="1">
      <c r="A22" t="s" s="33">
        <v>38</v>
      </c>
      <c r="B22" s="18"/>
      <c r="C22" s="18"/>
      <c r="D22" s="18"/>
      <c r="E22" s="18"/>
      <c r="F22" s="18"/>
      <c r="G22" s="18"/>
      <c r="H22" s="18"/>
      <c r="I22" s="39"/>
      <c r="J22" s="18"/>
      <c r="K22" s="18"/>
      <c r="L22" s="18"/>
      <c r="M22" s="18"/>
      <c r="N22" s="97" cm="1">
        <f t="array" ref="N22">SUM(B22:M22)</f>
        <v>0</v>
      </c>
      <c r="O22" s="98"/>
    </row>
    <row r="23" ht="15" customHeight="1">
      <c r="A23" t="s" s="33">
        <v>121</v>
      </c>
      <c r="B23" s="18"/>
      <c r="C23" s="18"/>
      <c r="D23" s="18"/>
      <c r="E23" s="18"/>
      <c r="F23" s="18"/>
      <c r="G23" s="18"/>
      <c r="H23" s="18"/>
      <c r="I23" s="18"/>
      <c r="J23" s="18"/>
      <c r="K23" s="18"/>
      <c r="L23" s="18"/>
      <c r="M23" s="18"/>
      <c r="N23" s="94" cm="1">
        <f t="array" ref="N23">SUM(B23:M23)</f>
        <v>0</v>
      </c>
      <c r="O23" s="19"/>
    </row>
    <row r="24" ht="15" customHeight="1">
      <c r="A24" t="s" s="33">
        <v>122</v>
      </c>
      <c r="B24" s="18"/>
      <c r="C24" s="18"/>
      <c r="D24" s="18"/>
      <c r="E24" s="18"/>
      <c r="F24" s="18"/>
      <c r="G24" s="18"/>
      <c r="H24" s="18"/>
      <c r="I24" s="18"/>
      <c r="J24" s="18"/>
      <c r="K24" s="18"/>
      <c r="L24" s="18"/>
      <c r="M24" s="18"/>
      <c r="N24" s="94" cm="1">
        <f t="array" ref="N24">SUM(B24:M24)</f>
        <v>0</v>
      </c>
      <c r="O24" s="19"/>
    </row>
    <row r="25" ht="15" customHeight="1">
      <c r="A25" t="s" s="33">
        <v>49</v>
      </c>
      <c r="B25" s="18"/>
      <c r="C25" s="18"/>
      <c r="D25" s="18"/>
      <c r="E25" s="18"/>
      <c r="F25" s="18"/>
      <c r="G25" s="18"/>
      <c r="H25" s="18"/>
      <c r="I25" s="18"/>
      <c r="J25" s="18"/>
      <c r="K25" s="18"/>
      <c r="L25" s="18"/>
      <c r="M25" s="18"/>
      <c r="N25" s="94" cm="1">
        <f t="array" ref="N25">SUM(B25:M25)</f>
        <v>0</v>
      </c>
      <c r="O25" s="19"/>
    </row>
    <row r="26" ht="15" customHeight="1">
      <c r="A26" s="30"/>
      <c r="B26" s="23"/>
      <c r="C26" s="23"/>
      <c r="D26" s="23"/>
      <c r="E26" s="23"/>
      <c r="F26" s="23"/>
      <c r="G26" s="23"/>
      <c r="H26" s="23"/>
      <c r="I26" s="45"/>
      <c r="J26" s="23"/>
      <c r="K26" s="23"/>
      <c r="L26" s="23"/>
      <c r="M26" s="23"/>
      <c r="N26" s="27"/>
      <c r="O26" s="27"/>
    </row>
    <row r="27" ht="15" customHeight="1">
      <c r="A27" s="11"/>
      <c r="B27" s="26"/>
      <c r="C27" s="26"/>
      <c r="D27" s="26"/>
      <c r="E27" s="26"/>
      <c r="F27" s="26"/>
      <c r="G27" s="26"/>
      <c r="H27" s="26"/>
      <c r="I27" s="26"/>
      <c r="J27" s="26"/>
      <c r="K27" s="26"/>
      <c r="L27" s="26"/>
      <c r="M27" s="26"/>
      <c r="N27" s="27"/>
      <c r="O27" s="27"/>
    </row>
    <row r="28" ht="23" customHeight="1">
      <c r="A28" t="s" s="7">
        <v>6</v>
      </c>
      <c r="B28" s="8"/>
      <c r="C28" s="8"/>
      <c r="D28" s="9"/>
      <c r="E28" s="9"/>
      <c r="F28" s="9"/>
      <c r="G28" s="9"/>
      <c r="H28" s="9"/>
      <c r="I28" s="9"/>
      <c r="J28" s="9"/>
      <c r="K28" s="9"/>
      <c r="L28" s="9"/>
      <c r="M28" s="9"/>
      <c r="N28" s="27"/>
      <c r="O28" s="27"/>
    </row>
    <row r="29" ht="23" customHeight="1">
      <c r="A29" t="s" s="7">
        <v>226</v>
      </c>
      <c r="B29" s="8"/>
      <c r="C29" s="8"/>
      <c r="D29" s="12"/>
      <c r="E29" s="12"/>
      <c r="F29" s="12"/>
      <c r="G29" s="12"/>
      <c r="H29" s="12"/>
      <c r="I29" s="12"/>
      <c r="J29" s="12"/>
      <c r="K29" s="12"/>
      <c r="L29" s="12"/>
      <c r="M29" s="12"/>
      <c r="N29" s="27"/>
      <c r="O29" s="27"/>
    </row>
    <row r="30" ht="23" customHeight="1">
      <c r="A30" s="8"/>
      <c r="B30" s="8"/>
      <c r="C30" s="8"/>
      <c r="D30" s="9"/>
      <c r="E30" s="9"/>
      <c r="F30" s="9"/>
      <c r="G30" s="9"/>
      <c r="H30" s="9"/>
      <c r="I30" s="9"/>
      <c r="J30" s="9"/>
      <c r="K30" s="9"/>
      <c r="L30" s="9"/>
      <c r="M30" s="9"/>
      <c r="N30" s="27"/>
      <c r="O30" s="27"/>
    </row>
    <row r="31" ht="15" customHeight="1">
      <c r="A31" s="13"/>
      <c r="B31" s="13"/>
      <c r="C31" s="13"/>
      <c r="D31" s="13"/>
      <c r="E31" s="13"/>
      <c r="F31" s="13"/>
      <c r="G31" s="13"/>
      <c r="H31" s="13"/>
      <c r="I31" s="13"/>
      <c r="J31" s="13"/>
      <c r="K31" s="13"/>
      <c r="L31" s="13"/>
      <c r="M31" s="13"/>
      <c r="N31" s="78"/>
      <c r="O31" s="78"/>
    </row>
    <row r="32" ht="15" customHeight="1">
      <c r="A32" t="s" s="32">
        <v>28</v>
      </c>
      <c r="B32" t="s" s="14">
        <v>9</v>
      </c>
      <c r="C32" t="s" s="14">
        <v>10</v>
      </c>
      <c r="D32" t="s" s="14">
        <v>11</v>
      </c>
      <c r="E32" t="s" s="14">
        <v>12</v>
      </c>
      <c r="F32" t="s" s="14">
        <v>13</v>
      </c>
      <c r="G32" t="s" s="14">
        <v>14</v>
      </c>
      <c r="H32" t="s" s="14">
        <v>15</v>
      </c>
      <c r="I32" t="s" s="14">
        <v>16</v>
      </c>
      <c r="J32" t="s" s="14">
        <v>17</v>
      </c>
      <c r="K32" t="s" s="14">
        <v>18</v>
      </c>
      <c r="L32" t="s" s="14">
        <v>19</v>
      </c>
      <c r="M32" t="s" s="14">
        <v>20</v>
      </c>
      <c r="N32" t="s" s="73">
        <v>223</v>
      </c>
      <c r="O32" s="91"/>
    </row>
    <row r="33" ht="15" customHeight="1">
      <c r="A33" t="s" s="33">
        <v>179</v>
      </c>
      <c r="B33" s="79">
        <v>1692</v>
      </c>
      <c r="C33" s="79">
        <v>1587</v>
      </c>
      <c r="D33" s="79">
        <v>1545</v>
      </c>
      <c r="E33" s="80">
        <v>1483</v>
      </c>
      <c r="F33" s="80">
        <v>1460</v>
      </c>
      <c r="G33" s="80">
        <v>1332</v>
      </c>
      <c r="H33" s="80">
        <v>1459</v>
      </c>
      <c r="I33" s="80">
        <v>1436</v>
      </c>
      <c r="J33" s="118">
        <v>1444</v>
      </c>
      <c r="K33" s="17">
        <v>1412</v>
      </c>
      <c r="L33" s="17">
        <v>1447</v>
      </c>
      <c r="M33" s="17">
        <v>1364</v>
      </c>
      <c r="N33" s="135"/>
      <c r="O33" s="154"/>
    </row>
    <row r="34" ht="15" customHeight="1">
      <c r="A34" t="s" s="33">
        <v>180</v>
      </c>
      <c r="B34" s="79">
        <v>705</v>
      </c>
      <c r="C34" s="79">
        <v>687</v>
      </c>
      <c r="D34" s="79">
        <v>654</v>
      </c>
      <c r="E34" s="80">
        <v>571</v>
      </c>
      <c r="F34" s="80">
        <v>614</v>
      </c>
      <c r="G34" s="80">
        <v>587</v>
      </c>
      <c r="H34" s="80">
        <v>651</v>
      </c>
      <c r="I34" s="80">
        <v>463</v>
      </c>
      <c r="J34" s="118">
        <v>710</v>
      </c>
      <c r="K34" s="17">
        <v>691</v>
      </c>
      <c r="L34" s="17">
        <v>664</v>
      </c>
      <c r="M34" s="17">
        <v>547</v>
      </c>
      <c r="N34" s="141"/>
      <c r="O34" s="155"/>
    </row>
    <row r="35" ht="15" customHeight="1">
      <c r="A35" t="s" s="33">
        <v>30</v>
      </c>
      <c r="B35" s="80"/>
      <c r="C35" s="80"/>
      <c r="D35" s="80"/>
      <c r="E35" s="80"/>
      <c r="F35" s="80"/>
      <c r="G35" s="80"/>
      <c r="H35" s="80"/>
      <c r="I35" s="35"/>
      <c r="J35" s="35"/>
      <c r="K35" s="35"/>
      <c r="L35" s="35"/>
      <c r="M35" s="35"/>
      <c r="N35" s="36"/>
      <c r="O35" s="11"/>
    </row>
    <row r="36" ht="15" customHeight="1">
      <c r="A36" t="s" s="33">
        <v>31</v>
      </c>
      <c r="B36" s="80">
        <v>738</v>
      </c>
      <c r="C36" t="s" s="20">
        <v>200</v>
      </c>
      <c r="D36" s="80">
        <v>336</v>
      </c>
      <c r="E36" s="80">
        <v>297</v>
      </c>
      <c r="F36" s="80">
        <v>395</v>
      </c>
      <c r="G36" s="80">
        <v>292</v>
      </c>
      <c r="H36" s="80">
        <v>350</v>
      </c>
      <c r="I36" s="17">
        <v>256</v>
      </c>
      <c r="J36" s="17">
        <v>350</v>
      </c>
      <c r="K36" s="17">
        <v>312</v>
      </c>
      <c r="L36" s="17">
        <v>265</v>
      </c>
      <c r="M36" s="17">
        <v>275</v>
      </c>
      <c r="N36" s="36"/>
      <c r="O36" s="11"/>
    </row>
    <row r="37" ht="15" customHeight="1">
      <c r="A37" t="s" s="33">
        <v>32</v>
      </c>
      <c r="B37" s="80"/>
      <c r="C37" s="80"/>
      <c r="D37" s="80"/>
      <c r="E37" s="80"/>
      <c r="F37" s="80"/>
      <c r="G37" s="80"/>
      <c r="H37" s="80"/>
      <c r="I37" s="35"/>
      <c r="J37" s="35"/>
      <c r="K37" s="35"/>
      <c r="L37" s="35"/>
      <c r="M37" s="35"/>
      <c r="N37" s="36"/>
      <c r="O37" s="11"/>
    </row>
    <row r="38" ht="15" customHeight="1">
      <c r="A38" t="s" s="33">
        <v>33</v>
      </c>
      <c r="B38" s="80"/>
      <c r="C38" s="80"/>
      <c r="D38" s="80"/>
      <c r="E38" s="80"/>
      <c r="F38" s="80"/>
      <c r="G38" s="80"/>
      <c r="H38" s="80"/>
      <c r="I38" s="80"/>
      <c r="J38" s="35"/>
      <c r="K38" s="80"/>
      <c r="L38" s="35"/>
      <c r="M38" s="35"/>
      <c r="N38" s="36"/>
      <c r="O38" s="11"/>
    </row>
    <row r="39" ht="15" customHeight="1">
      <c r="A39" s="40">
        <v>1</v>
      </c>
      <c r="B39" s="80"/>
      <c r="C39" s="80"/>
      <c r="D39" s="80"/>
      <c r="E39" s="80"/>
      <c r="F39" s="80"/>
      <c r="G39" s="80"/>
      <c r="H39" s="80"/>
      <c r="I39" s="35"/>
      <c r="J39" s="35"/>
      <c r="K39" s="35"/>
      <c r="L39" s="35"/>
      <c r="M39" s="35"/>
      <c r="N39" s="36"/>
      <c r="O39" s="11"/>
    </row>
    <row r="40" ht="15" customHeight="1">
      <c r="A40" s="40">
        <v>2</v>
      </c>
      <c r="B40" s="80"/>
      <c r="C40" s="80"/>
      <c r="D40" s="80"/>
      <c r="E40" s="80"/>
      <c r="F40" s="80"/>
      <c r="G40" s="80"/>
      <c r="H40" s="80"/>
      <c r="I40" s="35"/>
      <c r="J40" s="35"/>
      <c r="K40" s="35"/>
      <c r="L40" s="35"/>
      <c r="M40" s="35"/>
      <c r="N40" s="36"/>
      <c r="O40" s="11"/>
    </row>
    <row r="41" ht="15" customHeight="1">
      <c r="A41" s="40">
        <v>3</v>
      </c>
      <c r="B41" s="80"/>
      <c r="C41" s="80"/>
      <c r="D41" s="80"/>
      <c r="E41" s="80"/>
      <c r="F41" s="80"/>
      <c r="G41" s="80"/>
      <c r="H41" s="80"/>
      <c r="I41" s="35"/>
      <c r="J41" s="35"/>
      <c r="K41" s="35"/>
      <c r="L41" s="35"/>
      <c r="M41" s="35"/>
      <c r="N41" s="36"/>
      <c r="O41" s="11"/>
    </row>
    <row r="42" ht="15" customHeight="1">
      <c r="A42" t="s" s="33">
        <v>34</v>
      </c>
      <c r="B42" s="35"/>
      <c r="C42" s="35"/>
      <c r="D42" s="35"/>
      <c r="E42" s="35"/>
      <c r="F42" s="35"/>
      <c r="G42" s="35"/>
      <c r="H42" s="35"/>
      <c r="I42" s="35"/>
      <c r="J42" s="35"/>
      <c r="K42" s="35"/>
      <c r="L42" s="35"/>
      <c r="M42" s="35"/>
      <c r="N42" s="36"/>
      <c r="O42" s="11"/>
    </row>
    <row r="43" ht="15" customHeight="1">
      <c r="A43" s="37"/>
      <c r="B43" s="83"/>
      <c r="C43" s="83"/>
      <c r="D43" s="83"/>
      <c r="E43" s="83"/>
      <c r="F43" s="83"/>
      <c r="G43" s="84"/>
      <c r="H43" s="83"/>
      <c r="I43" s="37"/>
      <c r="J43" s="37"/>
      <c r="K43" s="37"/>
      <c r="L43" s="37"/>
      <c r="M43" s="37"/>
      <c r="N43" s="11"/>
      <c r="O43" s="11"/>
    </row>
    <row r="44" ht="15" customHeight="1">
      <c r="A44" t="s" s="32">
        <v>28</v>
      </c>
      <c r="B44" t="s" s="14">
        <v>9</v>
      </c>
      <c r="C44" t="s" s="14">
        <v>10</v>
      </c>
      <c r="D44" t="s" s="14">
        <v>11</v>
      </c>
      <c r="E44" t="s" s="14">
        <v>12</v>
      </c>
      <c r="F44" t="s" s="14">
        <v>13</v>
      </c>
      <c r="G44" t="s" s="14">
        <v>14</v>
      </c>
      <c r="H44" t="s" s="14">
        <v>15</v>
      </c>
      <c r="I44" t="s" s="14">
        <v>16</v>
      </c>
      <c r="J44" t="s" s="14">
        <v>17</v>
      </c>
      <c r="K44" t="s" s="14">
        <v>18</v>
      </c>
      <c r="L44" t="s" s="14">
        <v>19</v>
      </c>
      <c r="M44" t="s" s="14">
        <v>20</v>
      </c>
      <c r="N44" s="36"/>
      <c r="O44" s="11"/>
    </row>
    <row r="45" ht="15" customHeight="1">
      <c r="A45" t="s" s="33">
        <v>35</v>
      </c>
      <c r="B45" s="17">
        <v>110</v>
      </c>
      <c r="C45" s="17">
        <v>86</v>
      </c>
      <c r="D45" s="17">
        <v>104</v>
      </c>
      <c r="E45" s="17">
        <v>65</v>
      </c>
      <c r="F45" s="17">
        <v>83</v>
      </c>
      <c r="G45" s="17">
        <v>81</v>
      </c>
      <c r="H45" s="17">
        <v>100</v>
      </c>
      <c r="I45" s="17">
        <v>117</v>
      </c>
      <c r="J45" s="17">
        <v>74</v>
      </c>
      <c r="K45" s="17">
        <v>32</v>
      </c>
      <c r="L45" s="17">
        <v>80</v>
      </c>
      <c r="M45" s="17">
        <v>105</v>
      </c>
      <c r="N45" s="36"/>
      <c r="O45" s="11"/>
    </row>
    <row r="46" ht="15" customHeight="1">
      <c r="A46" t="s" s="33">
        <v>85</v>
      </c>
      <c r="B46" s="35"/>
      <c r="C46" s="35"/>
      <c r="D46" s="35"/>
      <c r="E46" s="35"/>
      <c r="F46" s="35"/>
      <c r="G46" s="35"/>
      <c r="H46" s="35"/>
      <c r="I46" s="35"/>
      <c r="J46" s="35"/>
      <c r="K46" s="35"/>
      <c r="L46" s="35"/>
      <c r="M46" s="35"/>
      <c r="N46" s="36"/>
      <c r="O46" s="11"/>
    </row>
    <row r="47" ht="15" customHeight="1">
      <c r="A47" t="s" s="33">
        <v>37</v>
      </c>
      <c r="B47" s="17">
        <v>10</v>
      </c>
      <c r="C47" t="s" s="20">
        <v>200</v>
      </c>
      <c r="D47" t="s" s="20">
        <v>200</v>
      </c>
      <c r="E47" s="17">
        <v>28</v>
      </c>
      <c r="F47" t="s" s="20">
        <v>200</v>
      </c>
      <c r="G47" s="17">
        <v>11</v>
      </c>
      <c r="H47" t="s" s="20">
        <v>200</v>
      </c>
      <c r="I47" s="17">
        <v>15</v>
      </c>
      <c r="J47" t="s" s="20">
        <v>200</v>
      </c>
      <c r="K47" s="17">
        <v>11</v>
      </c>
      <c r="L47" t="s" s="20">
        <v>200</v>
      </c>
      <c r="M47" s="17">
        <v>20</v>
      </c>
      <c r="N47" s="36"/>
      <c r="O47" s="11"/>
    </row>
    <row r="48" ht="15" customHeight="1">
      <c r="A48" t="s" s="33">
        <v>100</v>
      </c>
      <c r="B48" s="35"/>
      <c r="C48" s="35"/>
      <c r="D48" s="35"/>
      <c r="E48" s="35"/>
      <c r="F48" s="35"/>
      <c r="G48" s="35"/>
      <c r="H48" s="35"/>
      <c r="I48" s="35"/>
      <c r="J48" s="35"/>
      <c r="K48" s="35"/>
      <c r="L48" s="35"/>
      <c r="M48" s="35"/>
      <c r="N48" s="36"/>
      <c r="O48" s="11"/>
    </row>
    <row r="49" ht="15" customHeight="1">
      <c r="A49" t="s" s="33">
        <v>101</v>
      </c>
      <c r="B49" s="35"/>
      <c r="C49" s="35"/>
      <c r="D49" s="35"/>
      <c r="E49" s="35"/>
      <c r="F49" s="35"/>
      <c r="G49" s="35"/>
      <c r="H49" s="35"/>
      <c r="I49" s="35"/>
      <c r="J49" s="35"/>
      <c r="K49" s="35"/>
      <c r="L49" s="35"/>
      <c r="M49" s="35"/>
      <c r="N49" s="36"/>
      <c r="O49" s="11"/>
    </row>
    <row r="50" ht="15" customHeight="1">
      <c r="A50" t="s" s="33">
        <v>169</v>
      </c>
      <c r="B50" s="35"/>
      <c r="C50" s="35"/>
      <c r="D50" s="35"/>
      <c r="E50" s="35"/>
      <c r="F50" s="35"/>
      <c r="G50" s="35"/>
      <c r="H50" s="35"/>
      <c r="I50" s="35"/>
      <c r="J50" s="35"/>
      <c r="K50" s="35"/>
      <c r="L50" s="35"/>
      <c r="M50" s="35"/>
      <c r="N50" s="36"/>
      <c r="O50" s="11"/>
    </row>
    <row r="51" ht="15" customHeight="1">
      <c r="A51" s="39"/>
      <c r="B51" s="35"/>
      <c r="C51" s="35"/>
      <c r="D51" s="35"/>
      <c r="E51" s="35"/>
      <c r="F51" s="35"/>
      <c r="G51" s="35"/>
      <c r="H51" s="35"/>
      <c r="I51" s="35"/>
      <c r="J51" s="35"/>
      <c r="K51" s="35"/>
      <c r="L51" s="35"/>
      <c r="M51" s="35"/>
      <c r="N51" s="36"/>
      <c r="O51" s="11"/>
    </row>
    <row r="52" ht="29" customHeight="1">
      <c r="A52" t="s" s="68">
        <v>227</v>
      </c>
      <c r="B52" t="s" s="14">
        <v>9</v>
      </c>
      <c r="C52" t="s" s="14">
        <v>10</v>
      </c>
      <c r="D52" t="s" s="14">
        <v>11</v>
      </c>
      <c r="E52" t="s" s="14">
        <v>12</v>
      </c>
      <c r="F52" t="s" s="14">
        <v>13</v>
      </c>
      <c r="G52" t="s" s="14">
        <v>14</v>
      </c>
      <c r="H52" t="s" s="14">
        <v>15</v>
      </c>
      <c r="I52" t="s" s="14">
        <v>16</v>
      </c>
      <c r="J52" t="s" s="14">
        <v>17</v>
      </c>
      <c r="K52" t="s" s="14">
        <v>18</v>
      </c>
      <c r="L52" t="s" s="14">
        <v>19</v>
      </c>
      <c r="M52" t="s" s="14">
        <v>20</v>
      </c>
      <c r="N52" s="36"/>
      <c r="O52" s="11"/>
    </row>
    <row r="53" ht="15" customHeight="1">
      <c r="A53" t="s" s="33">
        <v>39</v>
      </c>
      <c r="B53" s="35"/>
      <c r="C53" s="35"/>
      <c r="D53" s="35"/>
      <c r="E53" s="35"/>
      <c r="F53" s="35"/>
      <c r="G53" s="35"/>
      <c r="H53" s="35"/>
      <c r="I53" s="35"/>
      <c r="J53" s="35"/>
      <c r="K53" s="35"/>
      <c r="L53" s="35"/>
      <c r="M53" s="17">
        <v>261</v>
      </c>
      <c r="N53" s="36"/>
      <c r="O53" s="11"/>
    </row>
    <row r="54" ht="15" customHeight="1">
      <c r="A54" t="s" s="33">
        <v>40</v>
      </c>
      <c r="B54" s="35"/>
      <c r="C54" s="142"/>
      <c r="D54" s="41"/>
      <c r="E54" s="41"/>
      <c r="F54" s="41"/>
      <c r="G54" s="147"/>
      <c r="H54" s="35"/>
      <c r="I54" s="35"/>
      <c r="J54" s="35"/>
      <c r="K54" s="35"/>
      <c r="L54" s="35"/>
      <c r="M54" s="17">
        <v>202</v>
      </c>
      <c r="N54" s="36"/>
      <c r="O54" s="11"/>
    </row>
    <row r="55" ht="15" customHeight="1">
      <c r="A55" t="s" s="33">
        <v>41</v>
      </c>
      <c r="B55" s="35"/>
      <c r="C55" s="35"/>
      <c r="D55" s="35"/>
      <c r="E55" s="35"/>
      <c r="F55" s="35"/>
      <c r="G55" s="35"/>
      <c r="H55" s="35"/>
      <c r="I55" s="35"/>
      <c r="J55" s="35"/>
      <c r="K55" s="35"/>
      <c r="L55" s="35"/>
      <c r="M55" s="17">
        <v>150</v>
      </c>
      <c r="N55" s="36"/>
      <c r="O55" s="11"/>
    </row>
    <row r="56" ht="15" customHeight="1">
      <c r="A56" t="s" s="33">
        <v>42</v>
      </c>
      <c r="B56" s="39"/>
      <c r="C56" s="35"/>
      <c r="D56" s="35"/>
      <c r="E56" s="35"/>
      <c r="F56" s="35"/>
      <c r="G56" s="35"/>
      <c r="H56" s="35"/>
      <c r="I56" s="35"/>
      <c r="J56" s="35"/>
      <c r="K56" s="39"/>
      <c r="L56" s="39"/>
      <c r="M56" s="17" cm="1">
        <f t="array" ref="M56">143+116</f>
        <v>259</v>
      </c>
      <c r="N56" s="36"/>
      <c r="O56" s="11"/>
    </row>
    <row r="57" ht="15" customHeight="1">
      <c r="A57" t="s" s="33">
        <v>87</v>
      </c>
      <c r="B57" s="39"/>
      <c r="C57" s="35"/>
      <c r="D57" s="35"/>
      <c r="E57" s="35"/>
      <c r="F57" s="35"/>
      <c r="G57" s="35"/>
      <c r="H57" s="35"/>
      <c r="I57" s="35"/>
      <c r="J57" s="35"/>
      <c r="K57" s="39"/>
      <c r="L57" s="39"/>
      <c r="M57" s="17">
        <v>49</v>
      </c>
      <c r="N57" s="36"/>
      <c r="O57" s="11"/>
    </row>
    <row r="58" ht="15" customHeight="1">
      <c r="A58" t="s" s="33">
        <v>190</v>
      </c>
      <c r="B58" s="39"/>
      <c r="C58" s="35"/>
      <c r="D58" s="35"/>
      <c r="E58" s="35"/>
      <c r="F58" s="35"/>
      <c r="G58" s="35"/>
      <c r="H58" s="35"/>
      <c r="I58" s="39"/>
      <c r="J58" s="39"/>
      <c r="K58" s="35"/>
      <c r="L58" s="39"/>
      <c r="M58" s="17">
        <v>120</v>
      </c>
      <c r="N58" s="36"/>
      <c r="O58" s="11"/>
    </row>
    <row r="59" ht="15" customHeight="1">
      <c r="A59" t="s" s="33">
        <v>170</v>
      </c>
      <c r="B59" s="39"/>
      <c r="C59" s="35"/>
      <c r="D59" s="35"/>
      <c r="E59" s="35"/>
      <c r="F59" s="35"/>
      <c r="G59" s="35"/>
      <c r="H59" s="35"/>
      <c r="I59" s="35"/>
      <c r="J59" s="35"/>
      <c r="K59" s="35"/>
      <c r="L59" s="39"/>
      <c r="M59" s="17">
        <v>64</v>
      </c>
      <c r="N59" s="36"/>
      <c r="O59" s="11"/>
    </row>
    <row r="60" ht="15" customHeight="1">
      <c r="A60" t="s" s="33">
        <v>125</v>
      </c>
      <c r="B60" s="39"/>
      <c r="C60" s="35"/>
      <c r="D60" s="35"/>
      <c r="E60" s="35"/>
      <c r="F60" s="35"/>
      <c r="G60" s="35"/>
      <c r="H60" s="35"/>
      <c r="I60" s="35"/>
      <c r="J60" s="35"/>
      <c r="K60" s="35"/>
      <c r="L60" s="39"/>
      <c r="M60" s="17">
        <v>65</v>
      </c>
      <c r="N60" s="36"/>
      <c r="O60" s="11"/>
    </row>
    <row r="61" ht="15" customHeight="1">
      <c r="A61" t="s" s="33">
        <v>33</v>
      </c>
      <c r="B61" s="39"/>
      <c r="C61" s="35"/>
      <c r="D61" s="35"/>
      <c r="E61" s="35"/>
      <c r="F61" s="35"/>
      <c r="G61" s="35"/>
      <c r="H61" s="35"/>
      <c r="I61" s="35"/>
      <c r="J61" s="35"/>
      <c r="K61" s="35"/>
      <c r="L61" s="39"/>
      <c r="M61" s="17">
        <v>235</v>
      </c>
      <c r="N61" s="36"/>
      <c r="O61" s="11"/>
    </row>
    <row r="62" ht="15" customHeight="1">
      <c r="A62" t="s" s="33">
        <v>22</v>
      </c>
      <c r="B62" s="17" cm="1">
        <f t="array" ref="B62">SUM(B53:B61)</f>
        <v>0</v>
      </c>
      <c r="C62" s="17" cm="1">
        <f t="array" ref="C62">SUM(C53:C61)</f>
        <v>0</v>
      </c>
      <c r="D62" s="17" cm="1">
        <f t="array" ref="D62">SUM(D53:D61)</f>
        <v>0</v>
      </c>
      <c r="E62" s="17" cm="1">
        <f t="array" ref="E62">SUM(E53:E61)</f>
        <v>0</v>
      </c>
      <c r="F62" s="17" cm="1">
        <f t="array" ref="F62">SUM(F53:F61)</f>
        <v>0</v>
      </c>
      <c r="G62" s="17" cm="1">
        <f t="array" ref="G62">SUM(G53:G61)</f>
        <v>0</v>
      </c>
      <c r="H62" s="17" cm="1">
        <f t="array" ref="H62">SUM(H53:H61)</f>
        <v>0</v>
      </c>
      <c r="I62" s="17" cm="1">
        <f t="array" ref="I62">SUM(I53:I61)</f>
        <v>0</v>
      </c>
      <c r="J62" s="17" cm="1">
        <f t="array" ref="J62">SUM(J53:J61)</f>
        <v>0</v>
      </c>
      <c r="K62" s="17" cm="1">
        <f t="array" ref="K62">SUM(K53:K61)</f>
        <v>0</v>
      </c>
      <c r="L62" s="17" cm="1">
        <f t="array" ref="L62">SUM(L53:L61)</f>
        <v>0</v>
      </c>
      <c r="M62" s="17" cm="1">
        <f t="array" ref="M62">SUM(M53:M61)</f>
        <v>1405</v>
      </c>
      <c r="N62" s="36"/>
      <c r="O62" s="11"/>
    </row>
    <row r="63" ht="15" customHeight="1">
      <c r="A63" s="37"/>
      <c r="B63" s="37"/>
      <c r="C63" s="41"/>
      <c r="D63" s="41"/>
      <c r="E63" s="41"/>
      <c r="F63" s="41"/>
      <c r="G63" s="37"/>
      <c r="H63" s="37"/>
      <c r="I63" s="37"/>
      <c r="J63" s="37"/>
      <c r="K63" s="37"/>
      <c r="L63" s="37"/>
      <c r="M63" s="37"/>
      <c r="N63" s="11"/>
      <c r="O63" s="11"/>
    </row>
    <row r="64" ht="15" customHeight="1">
      <c r="A64" s="37"/>
      <c r="B64" s="123">
        <v>43466</v>
      </c>
      <c r="C64" s="123">
        <v>43132</v>
      </c>
      <c r="D64" s="123">
        <v>43160</v>
      </c>
      <c r="E64" s="123">
        <v>43191</v>
      </c>
      <c r="F64" s="123">
        <v>43221</v>
      </c>
      <c r="G64" s="123">
        <v>43252</v>
      </c>
      <c r="H64" s="123">
        <v>43282</v>
      </c>
      <c r="I64" s="124">
        <v>42948</v>
      </c>
      <c r="J64" s="123">
        <v>42979</v>
      </c>
      <c r="K64" s="123">
        <v>43009</v>
      </c>
      <c r="L64" s="123">
        <v>43405</v>
      </c>
      <c r="M64" s="123">
        <v>43435</v>
      </c>
      <c r="N64" s="11"/>
      <c r="O64" s="11"/>
    </row>
    <row r="65" ht="15" customHeight="1">
      <c r="A65" t="s" s="87">
        <v>102</v>
      </c>
      <c r="B65" s="104" cm="1">
        <f t="array" ref="B65">B66+B67</f>
        <v>0</v>
      </c>
      <c r="C65" s="104" cm="1">
        <f t="array" ref="C65">C66+C67</f>
        <v>0</v>
      </c>
      <c r="D65" s="104" cm="1">
        <f t="array" ref="D65">D66+D67</f>
        <v>0</v>
      </c>
      <c r="E65" s="104" cm="1">
        <f t="array" ref="E65">E66+E67</f>
        <v>0</v>
      </c>
      <c r="F65" s="104" cm="1">
        <f t="array" ref="F65">F66+F67</f>
        <v>0</v>
      </c>
      <c r="G65" s="104" cm="1">
        <f t="array" ref="G65">G66+G67</f>
        <v>0</v>
      </c>
      <c r="H65" s="104" cm="1">
        <f t="array" ref="H65">H66+H67</f>
        <v>0</v>
      </c>
      <c r="I65" s="104" cm="1">
        <f t="array" ref="I65">I66+I67</f>
        <v>0</v>
      </c>
      <c r="J65" s="104" cm="1">
        <f t="array" ref="J65">J66+J67</f>
        <v>0</v>
      </c>
      <c r="K65" s="104" cm="1">
        <f t="array" ref="K65">K66+K67</f>
        <v>0</v>
      </c>
      <c r="L65" s="104" cm="1">
        <f t="array" ref="L65">L66+L67</f>
        <v>0</v>
      </c>
      <c r="M65" s="104" cm="1">
        <f t="array" ref="M65">M66+M67</f>
        <v>0</v>
      </c>
      <c r="N65" s="11"/>
      <c r="O65" s="11"/>
    </row>
    <row r="66" ht="15" customHeight="1">
      <c r="A66" t="s" s="87">
        <v>157</v>
      </c>
      <c r="B66" s="41"/>
      <c r="C66" s="41"/>
      <c r="D66" s="41"/>
      <c r="E66" s="41"/>
      <c r="F66" s="41"/>
      <c r="G66" s="143"/>
      <c r="H66" s="80"/>
      <c r="I66" s="136"/>
      <c r="J66" s="30"/>
      <c r="K66" s="30"/>
      <c r="L66" s="30"/>
      <c r="M66" s="30"/>
      <c r="N66" s="11"/>
      <c r="O66" s="11"/>
    </row>
    <row r="67" ht="15" customHeight="1">
      <c r="A67" t="s" s="87">
        <v>158</v>
      </c>
      <c r="B67" s="41"/>
      <c r="C67" s="41"/>
      <c r="D67" s="41"/>
      <c r="E67" s="41"/>
      <c r="F67" s="41"/>
      <c r="G67" s="12"/>
      <c r="H67" s="30"/>
      <c r="I67" s="11"/>
      <c r="J67" s="63"/>
      <c r="K67" s="63"/>
      <c r="L67" s="11"/>
      <c r="M67" s="11"/>
      <c r="N67" s="11"/>
      <c r="O67" s="11"/>
    </row>
    <row r="68" ht="15" customHeight="1">
      <c r="A68" s="37"/>
      <c r="B68" s="41"/>
      <c r="C68" s="41"/>
      <c r="D68" s="41"/>
      <c r="E68" s="41"/>
      <c r="F68" s="41"/>
      <c r="G68" s="12"/>
      <c r="H68" s="11"/>
      <c r="I68" s="11"/>
      <c r="J68" s="63"/>
      <c r="K68" s="63"/>
      <c r="L68" s="11"/>
      <c r="M68" s="11"/>
      <c r="N68" s="11"/>
      <c r="O68" s="11"/>
    </row>
    <row r="69" ht="15" customHeight="1">
      <c r="A69" t="s" s="87">
        <v>105</v>
      </c>
      <c r="B69" s="41"/>
      <c r="C69" s="41"/>
      <c r="D69" s="41"/>
      <c r="E69" s="41"/>
      <c r="F69" s="41"/>
      <c r="G69" s="12"/>
      <c r="H69" s="11"/>
      <c r="I69" s="11"/>
      <c r="J69" s="63"/>
      <c r="K69" s="63"/>
      <c r="L69" s="11"/>
      <c r="M69" s="11"/>
      <c r="N69" s="11"/>
      <c r="O69" s="11"/>
    </row>
    <row r="70" ht="15" customHeight="1">
      <c r="A70" t="s" s="87">
        <v>157</v>
      </c>
      <c r="B70" s="41"/>
      <c r="C70" s="41"/>
      <c r="D70" s="41"/>
      <c r="E70" s="41"/>
      <c r="F70" s="41"/>
      <c r="G70" s="12"/>
      <c r="H70" s="11"/>
      <c r="I70" s="63"/>
      <c r="J70" s="63"/>
      <c r="K70" s="63"/>
      <c r="L70" s="11"/>
      <c r="M70" s="11"/>
      <c r="N70" s="11"/>
      <c r="O70" s="11"/>
    </row>
    <row r="71" ht="15" customHeight="1">
      <c r="A71" t="s" s="87">
        <v>171</v>
      </c>
      <c r="B71" s="41"/>
      <c r="C71" s="41"/>
      <c r="D71" s="41"/>
      <c r="E71" s="41"/>
      <c r="F71" s="41"/>
      <c r="G71" s="12"/>
      <c r="H71" s="11"/>
      <c r="I71" s="11"/>
      <c r="J71" s="63"/>
      <c r="K71" s="63"/>
      <c r="L71" s="11"/>
      <c r="M71" s="11"/>
      <c r="N71" s="11"/>
      <c r="O71" s="11"/>
    </row>
    <row r="72" ht="15" customHeight="1">
      <c r="A72" t="s" s="87">
        <v>160</v>
      </c>
      <c r="B72" s="41"/>
      <c r="C72" s="41"/>
      <c r="D72" s="41"/>
      <c r="E72" s="41"/>
      <c r="F72" s="41"/>
      <c r="G72" s="12"/>
      <c r="H72" s="11"/>
      <c r="I72" s="11"/>
      <c r="J72" s="63"/>
      <c r="K72" s="63"/>
      <c r="L72" s="11"/>
      <c r="M72" s="11"/>
      <c r="N72" s="11"/>
      <c r="O72" s="11"/>
    </row>
    <row r="73" ht="15" customHeight="1">
      <c r="A73" s="37"/>
      <c r="B73" s="41"/>
      <c r="C73" s="41"/>
      <c r="D73" s="41"/>
      <c r="E73" s="41"/>
      <c r="F73" s="41"/>
      <c r="G73" s="13"/>
      <c r="H73" s="13"/>
      <c r="I73" s="13"/>
      <c r="J73" s="13"/>
      <c r="K73" s="13"/>
      <c r="L73" s="13"/>
      <c r="M73" s="13"/>
      <c r="N73" s="11"/>
      <c r="O73" s="11"/>
    </row>
    <row r="74" ht="15" customHeight="1">
      <c r="A74" t="s" s="88">
        <v>108</v>
      </c>
      <c r="B74" t="s" s="14">
        <v>9</v>
      </c>
      <c r="C74" t="s" s="14">
        <v>10</v>
      </c>
      <c r="D74" t="s" s="14">
        <v>11</v>
      </c>
      <c r="E74" t="s" s="14">
        <v>12</v>
      </c>
      <c r="F74" t="s" s="14">
        <v>13</v>
      </c>
      <c r="G74" t="s" s="14">
        <v>14</v>
      </c>
      <c r="H74" t="s" s="14">
        <v>15</v>
      </c>
      <c r="I74" t="s" s="14">
        <v>16</v>
      </c>
      <c r="J74" t="s" s="14">
        <v>17</v>
      </c>
      <c r="K74" t="s" s="14">
        <v>18</v>
      </c>
      <c r="L74" t="s" s="14">
        <v>19</v>
      </c>
      <c r="M74" t="s" s="14">
        <v>20</v>
      </c>
      <c r="N74" s="36"/>
      <c r="O74" s="11"/>
    </row>
    <row r="75" ht="15" customHeight="1">
      <c r="A75" t="s" s="33">
        <v>228</v>
      </c>
      <c r="B75" s="35"/>
      <c r="C75" s="35"/>
      <c r="D75" s="35"/>
      <c r="E75" s="35"/>
      <c r="F75" s="35"/>
      <c r="G75" s="35"/>
      <c r="H75" s="35"/>
      <c r="I75" s="35"/>
      <c r="J75" s="35"/>
      <c r="K75" s="35"/>
      <c r="L75" s="35"/>
      <c r="M75" s="17">
        <v>364</v>
      </c>
      <c r="N75" s="36"/>
      <c r="O75" s="11"/>
    </row>
    <row r="76" ht="15" customHeight="1">
      <c r="A76" t="s" s="33">
        <v>110</v>
      </c>
      <c r="B76" s="35"/>
      <c r="C76" s="35"/>
      <c r="D76" s="35"/>
      <c r="E76" s="35"/>
      <c r="F76" s="35"/>
      <c r="G76" s="35"/>
      <c r="H76" s="35"/>
      <c r="I76" s="35"/>
      <c r="J76" s="35"/>
      <c r="K76" s="35"/>
      <c r="L76" s="35"/>
      <c r="M76" s="17">
        <v>1055</v>
      </c>
      <c r="N76" s="36"/>
      <c r="O76" s="11"/>
    </row>
    <row r="77" ht="15" customHeight="1">
      <c r="A77" s="37"/>
      <c r="B77" s="37"/>
      <c r="C77" s="41"/>
      <c r="D77" s="41"/>
      <c r="E77" s="41"/>
      <c r="F77" s="41"/>
      <c r="G77" s="37"/>
      <c r="H77" s="37"/>
      <c r="I77" s="37"/>
      <c r="J77" s="37"/>
      <c r="K77" s="37"/>
      <c r="L77" s="37"/>
      <c r="M77" s="37"/>
      <c r="N77" s="11"/>
      <c r="O77" s="11"/>
    </row>
    <row r="78" ht="15" customHeight="1">
      <c r="A78" t="s" s="32">
        <v>28</v>
      </c>
      <c r="B78" t="s" s="14">
        <v>9</v>
      </c>
      <c r="C78" t="s" s="14">
        <v>10</v>
      </c>
      <c r="D78" t="s" s="14">
        <v>11</v>
      </c>
      <c r="E78" t="s" s="14">
        <v>12</v>
      </c>
      <c r="F78" t="s" s="14">
        <v>13</v>
      </c>
      <c r="G78" t="s" s="14">
        <v>14</v>
      </c>
      <c r="H78" t="s" s="14">
        <v>15</v>
      </c>
      <c r="I78" t="s" s="14">
        <v>16</v>
      </c>
      <c r="J78" t="s" s="14">
        <v>17</v>
      </c>
      <c r="K78" t="s" s="14">
        <v>18</v>
      </c>
      <c r="L78" t="s" s="14">
        <v>19</v>
      </c>
      <c r="M78" t="s" s="14">
        <v>20</v>
      </c>
      <c r="N78" s="36"/>
      <c r="O78" s="11"/>
    </row>
    <row r="79" ht="15" customHeight="1">
      <c r="A79" t="s" s="42">
        <v>45</v>
      </c>
      <c r="B79" s="69" cm="1">
        <f t="array" ref="B79">B62/B33</f>
        <v>0</v>
      </c>
      <c r="C79" s="69" cm="1">
        <f t="array" ref="C79">C62/C33</f>
        <v>0</v>
      </c>
      <c r="D79" s="69" cm="1">
        <f t="array" ref="D79">D62/D33</f>
        <v>0</v>
      </c>
      <c r="E79" s="69" cm="1">
        <f t="array" ref="E79">E62/E33</f>
        <v>0</v>
      </c>
      <c r="F79" s="69" cm="1">
        <f t="array" ref="F79">F62/F33</f>
        <v>0</v>
      </c>
      <c r="G79" s="69" cm="1">
        <f t="array" ref="G79">G62/G33</f>
        <v>0</v>
      </c>
      <c r="H79" s="69" cm="1">
        <f t="array" ref="H79">H62/H33</f>
        <v>0</v>
      </c>
      <c r="I79" s="69" cm="1">
        <f t="array" ref="I79">I62/I33</f>
        <v>0</v>
      </c>
      <c r="J79" s="69" cm="1">
        <f t="array" ref="J79">J62/J33</f>
        <v>0</v>
      </c>
      <c r="K79" s="43" cm="1">
        <f t="array" ref="K79">K62/K33</f>
        <v>0</v>
      </c>
      <c r="L79" s="43" cm="1">
        <f t="array" ref="L79">L62/L33</f>
        <v>0</v>
      </c>
      <c r="M79" s="43" cm="1">
        <f t="array" ref="M79">M62/M33</f>
        <v>1.03005865102639</v>
      </c>
      <c r="N79" s="11"/>
      <c r="O79" s="11"/>
    </row>
    <row r="80" ht="15" customHeight="1">
      <c r="A80" s="11"/>
      <c r="B80" s="11"/>
      <c r="C80" s="12"/>
      <c r="D80" s="12"/>
      <c r="E80" s="12"/>
      <c r="F80" s="12"/>
      <c r="G80" s="11"/>
      <c r="H80" s="11"/>
      <c r="I80" s="11"/>
      <c r="J80" s="11"/>
      <c r="K80" s="11"/>
      <c r="L80" s="11"/>
      <c r="M80" s="11"/>
      <c r="N80" s="11"/>
      <c r="O80" s="11"/>
    </row>
    <row r="81" ht="15" customHeight="1">
      <c r="A81" s="13"/>
      <c r="B81" s="13"/>
      <c r="C81" s="44"/>
      <c r="D81" s="44"/>
      <c r="E81" s="44"/>
      <c r="F81" s="44"/>
      <c r="G81" s="13"/>
      <c r="H81" s="13"/>
      <c r="I81" s="13"/>
      <c r="J81" s="13"/>
      <c r="K81" s="13"/>
      <c r="L81" s="13"/>
      <c r="M81" s="13"/>
      <c r="N81" s="11"/>
      <c r="O81" s="11"/>
    </row>
    <row r="82" ht="15" customHeight="1">
      <c r="A82" t="s" s="32">
        <v>46</v>
      </c>
      <c r="B82" t="s" s="14">
        <v>9</v>
      </c>
      <c r="C82" t="s" s="14">
        <v>10</v>
      </c>
      <c r="D82" t="s" s="14">
        <v>11</v>
      </c>
      <c r="E82" t="s" s="14">
        <v>12</v>
      </c>
      <c r="F82" t="s" s="14">
        <v>13</v>
      </c>
      <c r="G82" t="s" s="14">
        <v>14</v>
      </c>
      <c r="H82" t="s" s="14">
        <v>15</v>
      </c>
      <c r="I82" t="s" s="14">
        <v>16</v>
      </c>
      <c r="J82" t="s" s="14">
        <v>17</v>
      </c>
      <c r="K82" t="s" s="14">
        <v>18</v>
      </c>
      <c r="L82" t="s" s="14">
        <v>19</v>
      </c>
      <c r="M82" t="s" s="14">
        <v>20</v>
      </c>
      <c r="N82" s="36"/>
      <c r="O82" s="11"/>
    </row>
    <row r="83" ht="15" customHeight="1">
      <c r="A83" t="s" s="42">
        <v>47</v>
      </c>
      <c r="B83" s="89"/>
      <c r="C83" s="89"/>
      <c r="D83" s="89"/>
      <c r="E83" s="89"/>
      <c r="F83" s="89"/>
      <c r="G83" s="89"/>
      <c r="H83" s="30"/>
      <c r="I83" s="30"/>
      <c r="J83" s="30"/>
      <c r="K83" s="30"/>
      <c r="L83" s="30"/>
      <c r="M83" s="105">
        <v>91</v>
      </c>
      <c r="N83" s="11"/>
      <c r="O83" s="11"/>
    </row>
    <row r="84" ht="15" customHeight="1">
      <c r="A84" t="s" s="54">
        <v>48</v>
      </c>
      <c r="B84" s="12"/>
      <c r="C84" s="12"/>
      <c r="D84" s="12"/>
      <c r="E84" s="12"/>
      <c r="F84" s="12"/>
      <c r="G84" s="12"/>
      <c r="H84" s="11"/>
      <c r="I84" s="11"/>
      <c r="J84" s="11"/>
      <c r="K84" s="11"/>
      <c r="L84" s="11"/>
      <c r="M84" s="103">
        <v>54</v>
      </c>
      <c r="N84" s="11"/>
      <c r="O84" s="11"/>
    </row>
    <row r="85" ht="15" customHeight="1">
      <c r="A85" t="s" s="54">
        <v>49</v>
      </c>
      <c r="B85" s="12"/>
      <c r="C85" s="12"/>
      <c r="D85" s="12"/>
      <c r="E85" s="12"/>
      <c r="F85" s="12"/>
      <c r="G85" s="12"/>
      <c r="H85" s="11"/>
      <c r="I85" s="11"/>
      <c r="J85" s="11"/>
      <c r="K85" s="11"/>
      <c r="L85" s="11"/>
      <c r="M85" s="103">
        <v>24</v>
      </c>
      <c r="N85" s="11"/>
      <c r="O85" s="11"/>
    </row>
    <row r="86" ht="15" customHeight="1">
      <c r="A86" t="s" s="54">
        <v>50</v>
      </c>
      <c r="B86" s="12"/>
      <c r="C86" s="12"/>
      <c r="D86" s="12"/>
      <c r="E86" s="12"/>
      <c r="F86" s="12"/>
      <c r="G86" s="12"/>
      <c r="H86" s="12"/>
      <c r="I86" s="12"/>
      <c r="J86" s="11"/>
      <c r="K86" s="11"/>
      <c r="L86" s="11"/>
      <c r="M86" s="103">
        <v>36</v>
      </c>
      <c r="N86" s="11"/>
      <c r="O86" s="11"/>
    </row>
    <row r="87" ht="15" customHeight="1">
      <c r="A87" t="s" s="54">
        <v>33</v>
      </c>
      <c r="B87" s="12"/>
      <c r="C87" s="12"/>
      <c r="D87" s="12"/>
      <c r="E87" s="12"/>
      <c r="F87" s="12"/>
      <c r="G87" s="12"/>
      <c r="H87" s="11"/>
      <c r="I87" s="11"/>
      <c r="J87" s="11"/>
      <c r="K87" s="11"/>
      <c r="L87" s="11"/>
      <c r="M87" s="103">
        <v>113</v>
      </c>
      <c r="N87" s="11"/>
      <c r="O87" s="11"/>
    </row>
    <row r="88" ht="15" customHeight="1">
      <c r="A88" t="s" s="54">
        <v>54</v>
      </c>
      <c r="B88" s="12"/>
      <c r="C88" s="12"/>
      <c r="D88" s="12"/>
      <c r="E88" s="12"/>
      <c r="F88" s="12"/>
      <c r="G88" s="12"/>
      <c r="H88" s="11"/>
      <c r="I88" s="11"/>
      <c r="J88" s="11"/>
      <c r="K88" s="11"/>
      <c r="L88" s="11"/>
      <c r="M88" s="103">
        <v>72</v>
      </c>
      <c r="N88" s="11"/>
      <c r="O88" s="11"/>
    </row>
    <row r="89" ht="15" customHeight="1">
      <c r="A89" t="s" s="54">
        <v>51</v>
      </c>
      <c r="B89" s="12"/>
      <c r="C89" s="12"/>
      <c r="D89" s="12"/>
      <c r="E89" s="12"/>
      <c r="F89" s="12"/>
      <c r="G89" s="12"/>
      <c r="H89" s="11"/>
      <c r="I89" s="11"/>
      <c r="J89" s="11"/>
      <c r="K89" s="11"/>
      <c r="L89" s="11"/>
      <c r="M89" s="103">
        <v>116</v>
      </c>
      <c r="N89" s="11"/>
      <c r="O89" s="11"/>
    </row>
    <row r="90" ht="15" customHeight="1">
      <c r="A90" t="s" s="54">
        <v>41</v>
      </c>
      <c r="B90" s="12"/>
      <c r="C90" s="12"/>
      <c r="D90" s="12"/>
      <c r="E90" s="12"/>
      <c r="F90" s="12"/>
      <c r="G90" s="12"/>
      <c r="H90" s="11"/>
      <c r="I90" s="11"/>
      <c r="J90" s="11"/>
      <c r="K90" s="11"/>
      <c r="L90" s="11"/>
      <c r="M90" s="103">
        <v>24</v>
      </c>
      <c r="N90" s="11"/>
      <c r="O90" s="11"/>
    </row>
    <row r="91" ht="15" customHeight="1">
      <c r="A91" t="s" s="54">
        <v>40</v>
      </c>
      <c r="B91" s="12"/>
      <c r="C91" s="12"/>
      <c r="D91" s="12"/>
      <c r="E91" s="12"/>
      <c r="F91" s="12"/>
      <c r="G91" s="12"/>
      <c r="H91" s="11"/>
      <c r="I91" s="11"/>
      <c r="J91" s="11"/>
      <c r="K91" s="11"/>
      <c r="L91" s="11"/>
      <c r="M91" s="103" cm="1">
        <f t="array" ref="M91">41*2</f>
        <v>82</v>
      </c>
      <c r="N91" s="11"/>
      <c r="O91" s="11"/>
    </row>
    <row r="92" ht="15" customHeight="1">
      <c r="A92" t="s" s="54">
        <v>52</v>
      </c>
      <c r="B92" s="12"/>
      <c r="C92" s="12"/>
      <c r="D92" s="12"/>
      <c r="E92" s="12"/>
      <c r="F92" s="12"/>
      <c r="G92" s="12"/>
      <c r="H92" s="11"/>
      <c r="I92" s="11"/>
      <c r="J92" s="11"/>
      <c r="K92" s="11"/>
      <c r="L92" s="11"/>
      <c r="M92" s="103">
        <v>158</v>
      </c>
      <c r="N92" s="11"/>
      <c r="O92" s="11"/>
    </row>
    <row r="93" ht="15" customHeight="1">
      <c r="A93" t="s" s="54">
        <v>170</v>
      </c>
      <c r="B93" s="12"/>
      <c r="C93" s="12"/>
      <c r="D93" s="12"/>
      <c r="E93" s="12"/>
      <c r="F93" s="12"/>
      <c r="G93" s="12"/>
      <c r="H93" s="11"/>
      <c r="I93" s="11"/>
      <c r="J93" s="11"/>
      <c r="K93" s="11"/>
      <c r="L93" s="11"/>
      <c r="M93" s="103">
        <v>47</v>
      </c>
      <c r="N93" s="11"/>
      <c r="O93" s="11"/>
    </row>
    <row r="94" ht="15" customHeight="1">
      <c r="A94" t="s" s="54">
        <v>90</v>
      </c>
      <c r="B94" s="12"/>
      <c r="C94" s="12"/>
      <c r="D94" s="12"/>
      <c r="E94" s="12"/>
      <c r="F94" s="12"/>
      <c r="G94" s="12"/>
      <c r="H94" s="11"/>
      <c r="I94" s="11"/>
      <c r="J94" s="11"/>
      <c r="K94" s="11"/>
      <c r="L94" s="11"/>
      <c r="M94" s="103">
        <v>20</v>
      </c>
      <c r="N94" s="11"/>
      <c r="O94" s="11"/>
    </row>
    <row r="95" ht="15" customHeight="1">
      <c r="A95" t="s" s="54">
        <v>190</v>
      </c>
      <c r="B95" s="12"/>
      <c r="C95" s="12"/>
      <c r="D95" s="12"/>
      <c r="E95" s="12"/>
      <c r="F95" s="12"/>
      <c r="G95" s="12"/>
      <c r="H95" s="11"/>
      <c r="I95" s="11"/>
      <c r="J95" s="11"/>
      <c r="K95" s="11"/>
      <c r="L95" s="11"/>
      <c r="M95" s="103">
        <v>19</v>
      </c>
      <c r="N95" s="11"/>
      <c r="O95" s="11"/>
    </row>
    <row r="96" ht="15" customHeight="1">
      <c r="A96" t="s" s="54">
        <v>111</v>
      </c>
      <c r="B96" s="12"/>
      <c r="C96" s="12"/>
      <c r="D96" s="12"/>
      <c r="E96" s="12"/>
      <c r="F96" s="12"/>
      <c r="G96" s="12"/>
      <c r="H96" s="11"/>
      <c r="I96" s="11"/>
      <c r="J96" s="11"/>
      <c r="K96" s="11"/>
      <c r="L96" s="11"/>
      <c r="M96" s="103">
        <v>17</v>
      </c>
      <c r="N96" s="11"/>
      <c r="O96" s="11"/>
    </row>
    <row r="97" ht="15" customHeight="1">
      <c r="A97" t="s" s="54">
        <v>112</v>
      </c>
      <c r="B97" s="12"/>
      <c r="C97" s="12"/>
      <c r="D97" s="12"/>
      <c r="E97" s="12"/>
      <c r="F97" s="12"/>
      <c r="G97" s="12"/>
      <c r="H97" s="11"/>
      <c r="I97" s="11"/>
      <c r="J97" s="11"/>
      <c r="K97" s="11"/>
      <c r="L97" s="11"/>
      <c r="M97" s="103">
        <v>2</v>
      </c>
      <c r="N97" s="11"/>
      <c r="O97" s="11"/>
    </row>
    <row r="98" ht="15" customHeight="1">
      <c r="A98" t="s" s="54">
        <v>127</v>
      </c>
      <c r="B98" s="12"/>
      <c r="C98" s="12"/>
      <c r="D98" s="12"/>
      <c r="E98" s="12"/>
      <c r="F98" s="12"/>
      <c r="G98" s="12"/>
      <c r="H98" s="11"/>
      <c r="I98" s="11"/>
      <c r="J98" s="11"/>
      <c r="K98" s="11"/>
      <c r="L98" s="11"/>
      <c r="M98" s="103">
        <v>33</v>
      </c>
      <c r="N98" s="11"/>
      <c r="O98" s="11"/>
    </row>
    <row r="99" ht="15" customHeight="1">
      <c r="A99" t="s" s="54">
        <v>125</v>
      </c>
      <c r="B99" s="12"/>
      <c r="C99" s="12"/>
      <c r="D99" s="12"/>
      <c r="E99" s="12"/>
      <c r="F99" s="12"/>
      <c r="G99" s="12"/>
      <c r="H99" s="11"/>
      <c r="I99" s="11"/>
      <c r="J99" s="11"/>
      <c r="K99" s="11"/>
      <c r="L99" s="11"/>
      <c r="M99" s="103">
        <v>24</v>
      </c>
      <c r="N99" s="11"/>
      <c r="O99" s="11"/>
    </row>
    <row r="100" ht="15" customHeight="1">
      <c r="A100" t="s" s="54">
        <v>113</v>
      </c>
      <c r="B100" s="12"/>
      <c r="C100" s="12"/>
      <c r="D100" s="12"/>
      <c r="E100" s="12"/>
      <c r="F100" s="12"/>
      <c r="G100" s="12"/>
      <c r="H100" s="11"/>
      <c r="I100" s="11"/>
      <c r="J100" s="11"/>
      <c r="K100" s="11"/>
      <c r="L100" s="11"/>
      <c r="M100" s="103">
        <v>58</v>
      </c>
      <c r="N100" s="11"/>
      <c r="O100" s="11"/>
    </row>
    <row r="101" ht="15" customHeight="1">
      <c r="A101" t="s" s="54">
        <v>22</v>
      </c>
      <c r="B101" s="103" cm="1">
        <f t="array" ref="B101">SUM(B83:B100)</f>
        <v>0</v>
      </c>
      <c r="C101" s="103" cm="1">
        <f t="array" ref="C101">SUM(C83:C100)</f>
        <v>0</v>
      </c>
      <c r="D101" s="103" cm="1">
        <f t="array" ref="D101">SUM(D83:D100)</f>
        <v>0</v>
      </c>
      <c r="E101" s="103" cm="1">
        <f t="array" ref="E101">SUM(E83:E100)</f>
        <v>0</v>
      </c>
      <c r="F101" s="103" cm="1">
        <f t="array" ref="F101">SUM(F83:F100)</f>
        <v>0</v>
      </c>
      <c r="G101" s="103" cm="1">
        <f t="array" ref="G101">SUM(G83:G100)</f>
        <v>0</v>
      </c>
      <c r="H101" s="55" cm="1">
        <f t="array" ref="H101">SUM(H83:H100)</f>
        <v>0</v>
      </c>
      <c r="I101" s="55" cm="1">
        <f t="array" ref="I101">SUM(I83:I100)</f>
        <v>0</v>
      </c>
      <c r="J101" s="55" cm="1">
        <f t="array" ref="J101">SUM(J83:J100)</f>
        <v>0</v>
      </c>
      <c r="K101" s="55" cm="1">
        <f t="array" ref="K101">SUM(K83:K100)</f>
        <v>0</v>
      </c>
      <c r="L101" s="55" cm="1">
        <f t="array" ref="L101">SUM(L83:L100)</f>
        <v>0</v>
      </c>
      <c r="M101" s="103" cm="1">
        <f t="array" ref="M101">SUM(M83:M100)</f>
        <v>990</v>
      </c>
      <c r="N101" s="11"/>
      <c r="O101" s="11"/>
    </row>
    <row r="102" ht="15" customHeight="1">
      <c r="A102" s="13"/>
      <c r="B102" s="13"/>
      <c r="C102" s="13"/>
      <c r="D102" s="13"/>
      <c r="E102" s="13"/>
      <c r="F102" s="13"/>
      <c r="G102" s="13"/>
      <c r="H102" s="13"/>
      <c r="I102" s="13"/>
      <c r="J102" s="13"/>
      <c r="K102" s="13"/>
      <c r="L102" s="13"/>
      <c r="M102" s="13"/>
      <c r="N102" s="11"/>
      <c r="O102" s="11"/>
    </row>
    <row r="103" ht="15" customHeight="1">
      <c r="A103" t="s" s="32">
        <v>28</v>
      </c>
      <c r="B103" t="s" s="14">
        <v>9</v>
      </c>
      <c r="C103" t="s" s="14">
        <v>10</v>
      </c>
      <c r="D103" t="s" s="14">
        <v>11</v>
      </c>
      <c r="E103" t="s" s="14">
        <v>12</v>
      </c>
      <c r="F103" t="s" s="14">
        <v>13</v>
      </c>
      <c r="G103" t="s" s="14">
        <v>14</v>
      </c>
      <c r="H103" t="s" s="14">
        <v>15</v>
      </c>
      <c r="I103" t="s" s="14">
        <v>16</v>
      </c>
      <c r="J103" t="s" s="14">
        <v>17</v>
      </c>
      <c r="K103" t="s" s="14">
        <v>18</v>
      </c>
      <c r="L103" t="s" s="14">
        <v>19</v>
      </c>
      <c r="M103" t="s" s="14">
        <v>20</v>
      </c>
      <c r="N103" s="36"/>
      <c r="O103" s="11"/>
    </row>
    <row r="104" ht="15" customHeight="1">
      <c r="A104" t="s" s="42">
        <v>56</v>
      </c>
      <c r="B104" s="23" cm="1">
        <f t="array" ref="B104">B11</f>
        <v>387759299</v>
      </c>
      <c r="C104" s="23" cm="1">
        <f t="array" ref="C104">C11</f>
        <v>460067151</v>
      </c>
      <c r="D104" s="23" cm="1">
        <f t="array" ref="D104">D11</f>
        <v>605658738</v>
      </c>
      <c r="E104" s="23" cm="1">
        <f t="array" ref="E104">E11</f>
        <v>450612707.666667</v>
      </c>
      <c r="F104" s="23" cm="1">
        <f t="array" ref="F104">F11</f>
        <v>497747294</v>
      </c>
      <c r="G104" s="23" cm="1">
        <f t="array" ref="G104">G11</f>
        <v>694988242</v>
      </c>
      <c r="H104" s="23" cm="1">
        <f t="array" ref="H104">H11</f>
        <v>487394187</v>
      </c>
      <c r="I104" s="23" cm="1">
        <f t="array" ref="I104">I11</f>
        <v>498800955.666667</v>
      </c>
      <c r="J104" s="23" cm="1">
        <f t="array" ref="J104">J11</f>
        <v>447976802.666667</v>
      </c>
      <c r="K104" s="23" cm="1">
        <f t="array" ref="K104">K11</f>
        <v>426776479.666667</v>
      </c>
      <c r="L104" s="23" cm="1">
        <f t="array" ref="L104">L11</f>
        <v>560295792.333333</v>
      </c>
      <c r="M104" s="23" cm="1">
        <f t="array" ref="M104">M11</f>
        <v>583090621</v>
      </c>
      <c r="N104" s="11"/>
      <c r="O104" s="11"/>
    </row>
    <row r="105" ht="15" customHeight="1">
      <c r="A105" s="11"/>
      <c r="B105" s="11"/>
      <c r="C105" s="11"/>
      <c r="D105" s="11"/>
      <c r="E105" s="11"/>
      <c r="F105" s="11"/>
      <c r="G105" s="11"/>
      <c r="H105" s="11"/>
      <c r="I105" s="11"/>
      <c r="J105" s="11"/>
      <c r="K105" s="11"/>
      <c r="L105" s="11"/>
      <c r="M105" s="11"/>
      <c r="N105" s="11"/>
      <c r="O105" s="11"/>
    </row>
    <row r="106" ht="15" customHeight="1">
      <c r="A106" s="11"/>
      <c r="B106" s="11"/>
      <c r="C106" s="11"/>
      <c r="D106" s="11"/>
      <c r="E106" s="11"/>
      <c r="F106" s="11"/>
      <c r="G106" s="11"/>
      <c r="H106" s="11"/>
      <c r="I106" s="11"/>
      <c r="J106" s="11"/>
      <c r="K106" s="11"/>
      <c r="L106" s="11"/>
      <c r="M106" s="11"/>
      <c r="N106" s="11"/>
      <c r="O106" s="11"/>
    </row>
    <row r="107" ht="15" customHeight="1">
      <c r="A107" s="11"/>
      <c r="B107" s="11"/>
      <c r="C107" s="11"/>
      <c r="D107" s="11"/>
      <c r="E107" s="11"/>
      <c r="F107" s="11"/>
      <c r="G107" s="13"/>
      <c r="H107" s="11"/>
      <c r="I107" s="11"/>
      <c r="J107" s="11"/>
      <c r="K107" s="11"/>
      <c r="L107" s="11"/>
      <c r="M107" s="11"/>
      <c r="N107" s="11"/>
      <c r="O107" s="11"/>
    </row>
    <row r="108" ht="15" customHeight="1">
      <c r="A108" t="s" s="54">
        <v>161</v>
      </c>
      <c r="B108" s="11"/>
      <c r="C108" s="11"/>
      <c r="D108" s="11"/>
      <c r="E108" s="11"/>
      <c r="F108" s="158"/>
      <c r="G108" s="159">
        <v>45992</v>
      </c>
      <c r="H108" s="36"/>
      <c r="I108" s="11"/>
      <c r="J108" s="11"/>
      <c r="K108" s="11"/>
      <c r="L108" s="11"/>
      <c r="M108" s="11"/>
      <c r="N108" s="11"/>
      <c r="O108" s="11"/>
    </row>
    <row r="109" ht="31" customHeight="1">
      <c r="A109" s="11"/>
      <c r="B109" s="11"/>
      <c r="C109" s="11"/>
      <c r="D109" s="11"/>
      <c r="E109" s="11"/>
      <c r="F109" t="s" s="111">
        <v>229</v>
      </c>
      <c r="G109" t="s" s="163">
        <v>230</v>
      </c>
      <c r="H109" t="s" s="111">
        <v>84</v>
      </c>
      <c r="I109" t="s" s="111">
        <v>231</v>
      </c>
      <c r="J109" t="s" s="164">
        <v>232</v>
      </c>
      <c r="K109" t="s" s="111">
        <v>84</v>
      </c>
      <c r="L109" s="11"/>
      <c r="M109" s="11"/>
      <c r="N109" s="11"/>
      <c r="O109" s="11"/>
    </row>
    <row r="110" ht="15" customHeight="1">
      <c r="A110" t="s" s="54">
        <v>190</v>
      </c>
      <c r="B110" s="11"/>
      <c r="C110" s="11"/>
      <c r="D110" s="11"/>
      <c r="E110" s="11"/>
      <c r="F110" s="103">
        <v>4</v>
      </c>
      <c r="G110" s="103">
        <v>76</v>
      </c>
      <c r="H110" s="161" cm="1">
        <f t="array" ref="H110">G110/F110</f>
        <v>19</v>
      </c>
      <c r="I110" s="12"/>
      <c r="J110" s="12"/>
      <c r="K110" s="161" cm="1">
        <f t="array" ref="K110">J110/I110</f>
      </c>
      <c r="L110" s="11"/>
      <c r="M110" s="11"/>
      <c r="N110" s="11"/>
      <c r="O110" s="11"/>
    </row>
    <row r="111" ht="15" customHeight="1">
      <c r="A111" t="s" s="54">
        <v>147</v>
      </c>
      <c r="B111" s="11"/>
      <c r="C111" s="11"/>
      <c r="D111" s="11"/>
      <c r="E111" s="11"/>
      <c r="F111" s="103">
        <v>42</v>
      </c>
      <c r="G111" s="103">
        <v>243</v>
      </c>
      <c r="H111" s="161" cm="1">
        <f t="array" ref="H111">G111/F111</f>
        <v>5.78571428571429</v>
      </c>
      <c r="I111" s="12"/>
      <c r="J111" s="12"/>
      <c r="K111" s="161" cm="1">
        <f t="array" ref="K111">J111/I111</f>
      </c>
      <c r="L111" s="11"/>
      <c r="M111" s="11"/>
      <c r="N111" s="11"/>
      <c r="O111" s="11"/>
    </row>
    <row r="112" ht="15" customHeight="1">
      <c r="A112" t="s" s="25">
        <v>87</v>
      </c>
      <c r="B112" s="16"/>
      <c r="C112" s="16"/>
      <c r="D112" s="11"/>
      <c r="E112" s="11"/>
      <c r="F112" s="103">
        <v>5</v>
      </c>
      <c r="G112" s="103">
        <v>43</v>
      </c>
      <c r="H112" s="161" cm="1">
        <f t="array" ref="H112">G112/F112</f>
        <v>8.6</v>
      </c>
      <c r="I112" s="103">
        <v>1</v>
      </c>
      <c r="J112" s="103">
        <v>13</v>
      </c>
      <c r="K112" s="161" cm="1">
        <f t="array" ref="K112">J112/I112</f>
        <v>13</v>
      </c>
      <c r="L112" s="11"/>
      <c r="M112" s="11"/>
      <c r="N112" s="11"/>
      <c r="O112" s="11"/>
    </row>
    <row r="113" ht="15" customHeight="1">
      <c r="A113" t="s" s="25">
        <v>151</v>
      </c>
      <c r="B113" s="12"/>
      <c r="C113" s="12"/>
      <c r="D113" s="11"/>
      <c r="E113" s="11"/>
      <c r="F113" s="102">
        <v>16</v>
      </c>
      <c r="G113" s="103">
        <v>198</v>
      </c>
      <c r="H113" s="161" cm="1">
        <f t="array" ref="H113">G113/F113</f>
        <v>12.375</v>
      </c>
      <c r="I113" s="102"/>
      <c r="J113" s="12"/>
      <c r="K113" s="161" cm="1">
        <f t="array" ref="K113">J113/I113</f>
      </c>
      <c r="L113" s="11"/>
      <c r="M113" s="11"/>
      <c r="N113" s="11"/>
      <c r="O113" s="11"/>
    </row>
    <row r="114" ht="15" customHeight="1">
      <c r="A114" t="s" s="25">
        <v>207</v>
      </c>
      <c r="B114" s="12"/>
      <c r="C114" s="12"/>
      <c r="D114" s="11"/>
      <c r="E114" s="11"/>
      <c r="F114" s="102"/>
      <c r="G114" s="12"/>
      <c r="H114" s="161" cm="1">
        <f t="array" ref="H114">G114/F114</f>
      </c>
      <c r="I114" s="102"/>
      <c r="J114" s="12"/>
      <c r="K114" s="161" cm="1">
        <f t="array" ref="K114">J114/I114</f>
      </c>
      <c r="L114" s="11"/>
      <c r="M114" s="11"/>
      <c r="N114" s="11"/>
      <c r="O114" s="11"/>
    </row>
    <row r="115" ht="15" customHeight="1">
      <c r="A115" t="s" s="25">
        <v>205</v>
      </c>
      <c r="B115" s="12"/>
      <c r="C115" s="12"/>
      <c r="D115" s="11"/>
      <c r="E115" s="11"/>
      <c r="F115" s="102">
        <v>4</v>
      </c>
      <c r="G115" s="103">
        <v>65</v>
      </c>
      <c r="H115" s="161" cm="1">
        <f t="array" ref="H115">G115/F115</f>
        <v>16.25</v>
      </c>
      <c r="I115" s="102"/>
      <c r="J115" s="12"/>
      <c r="K115" s="161" cm="1">
        <f t="array" ref="K115">J115/I115</f>
      </c>
      <c r="L115" s="11"/>
      <c r="M115" s="11"/>
      <c r="N115" s="11"/>
      <c r="O115" s="11"/>
    </row>
    <row r="116" ht="15" customHeight="1">
      <c r="A116" t="s" s="25">
        <v>134</v>
      </c>
      <c r="B116" s="12"/>
      <c r="C116" s="12"/>
      <c r="D116" s="11"/>
      <c r="E116" s="11"/>
      <c r="F116" s="102">
        <v>5</v>
      </c>
      <c r="G116" s="103">
        <v>72</v>
      </c>
      <c r="H116" s="161" cm="1">
        <f t="array" ref="H116">G116/F116</f>
        <v>14.4</v>
      </c>
      <c r="I116" s="102"/>
      <c r="J116" s="12"/>
      <c r="K116" s="161" cm="1">
        <f t="array" ref="K116">J116/I116</f>
      </c>
      <c r="L116" s="11"/>
      <c r="M116" s="11"/>
      <c r="N116" s="11"/>
      <c r="O116" s="11"/>
    </row>
    <row r="117" ht="15" customHeight="1">
      <c r="A117" t="s" s="25">
        <v>218</v>
      </c>
      <c r="B117" s="12"/>
      <c r="C117" s="12"/>
      <c r="D117" s="11"/>
      <c r="E117" s="11"/>
      <c r="F117" s="102">
        <v>8</v>
      </c>
      <c r="G117" s="103">
        <v>58</v>
      </c>
      <c r="H117" s="161" cm="1">
        <f t="array" ref="H117">G117/F117</f>
        <v>7.25</v>
      </c>
      <c r="I117" s="102"/>
      <c r="J117" s="12"/>
      <c r="K117" s="161" cm="1">
        <f t="array" ref="K117">J117/I117</f>
      </c>
      <c r="L117" s="11"/>
      <c r="M117" s="11"/>
      <c r="N117" s="11"/>
      <c r="O117" s="11"/>
    </row>
    <row r="118" ht="15" customHeight="1">
      <c r="A118" t="s" s="25">
        <v>219</v>
      </c>
      <c r="B118" s="12"/>
      <c r="C118" s="12"/>
      <c r="D118" s="11"/>
      <c r="E118" s="11"/>
      <c r="F118" s="103">
        <v>18</v>
      </c>
      <c r="G118" s="103">
        <v>156</v>
      </c>
      <c r="H118" s="161" cm="1">
        <f t="array" ref="H118">G118/F118</f>
        <v>8.66666666666667</v>
      </c>
      <c r="I118" s="103">
        <v>6</v>
      </c>
      <c r="J118" s="103">
        <v>42</v>
      </c>
      <c r="K118" s="161" cm="1">
        <f t="array" ref="K118">J118/I118</f>
        <v>7</v>
      </c>
      <c r="L118" s="11"/>
      <c r="M118" s="11"/>
      <c r="N118" s="11"/>
      <c r="O118" s="11"/>
    </row>
    <row r="119" ht="15" customHeight="1">
      <c r="A119" s="12"/>
      <c r="B119" s="12"/>
      <c r="C119" s="12"/>
      <c r="D119" s="11"/>
      <c r="E119" s="11"/>
      <c r="F119" s="11"/>
      <c r="G119" s="11"/>
      <c r="H119" s="11"/>
      <c r="I119" s="11"/>
      <c r="J119" s="11"/>
      <c r="K119" s="11"/>
      <c r="L119" s="11"/>
      <c r="M119" s="11"/>
      <c r="N119" s="11"/>
      <c r="O119" s="11"/>
    </row>
    <row r="120" ht="15" customHeight="1">
      <c r="A120" s="11"/>
      <c r="B120" s="11"/>
      <c r="C120" s="11"/>
      <c r="D120" s="11"/>
      <c r="E120" s="11"/>
      <c r="F120" s="28"/>
      <c r="G120" s="11"/>
      <c r="H120" s="11"/>
      <c r="I120" s="11"/>
      <c r="J120" s="11"/>
      <c r="K120" s="11"/>
      <c r="L120" s="11"/>
      <c r="M120" s="11"/>
      <c r="N120" s="11"/>
      <c r="O120" s="11"/>
    </row>
    <row r="121" ht="15" customHeight="1">
      <c r="A121" s="16"/>
      <c r="B121" s="16"/>
      <c r="C121" s="16"/>
      <c r="D121" s="11"/>
      <c r="E121" s="11"/>
      <c r="F121" s="11"/>
      <c r="G121" s="11"/>
      <c r="H121" s="11"/>
      <c r="I121" s="11"/>
      <c r="J121" s="11"/>
      <c r="K121" s="11"/>
      <c r="L121" s="11"/>
      <c r="M121" s="11"/>
      <c r="N121" s="11"/>
      <c r="O121" s="11"/>
    </row>
    <row r="122" ht="15" customHeight="1">
      <c r="A122" s="44"/>
      <c r="B122" s="44"/>
      <c r="C122" s="165"/>
      <c r="D122" s="13"/>
      <c r="E122" s="13"/>
      <c r="F122" s="13"/>
      <c r="G122" s="13"/>
      <c r="H122" s="13"/>
      <c r="I122" s="13"/>
      <c r="J122" s="13"/>
      <c r="K122" s="13"/>
      <c r="L122" s="13"/>
      <c r="M122" s="13"/>
      <c r="N122" s="11"/>
      <c r="O122" s="11"/>
    </row>
    <row r="123" ht="31" customHeight="1">
      <c r="A123" t="s" s="68">
        <v>233</v>
      </c>
      <c r="B123" t="s" s="14">
        <v>9</v>
      </c>
      <c r="C123" t="s" s="14">
        <v>10</v>
      </c>
      <c r="D123" t="s" s="14">
        <v>11</v>
      </c>
      <c r="E123" t="s" s="14">
        <v>12</v>
      </c>
      <c r="F123" t="s" s="14">
        <v>13</v>
      </c>
      <c r="G123" t="s" s="14">
        <v>14</v>
      </c>
      <c r="H123" t="s" s="14">
        <v>15</v>
      </c>
      <c r="I123" t="s" s="14">
        <v>16</v>
      </c>
      <c r="J123" t="s" s="14">
        <v>17</v>
      </c>
      <c r="K123" t="s" s="14">
        <v>18</v>
      </c>
      <c r="L123" t="s" s="14">
        <v>19</v>
      </c>
      <c r="M123" t="s" s="14">
        <v>20</v>
      </c>
      <c r="N123" s="36"/>
      <c r="O123" s="11"/>
    </row>
    <row r="124" ht="15" customHeight="1">
      <c r="A124" t="s" s="33">
        <v>39</v>
      </c>
      <c r="B124" s="35"/>
      <c r="C124" s="35"/>
      <c r="D124" s="35"/>
      <c r="E124" s="35"/>
      <c r="F124" s="35"/>
      <c r="G124" s="35"/>
      <c r="H124" s="35"/>
      <c r="I124" s="35"/>
      <c r="J124" s="35"/>
      <c r="K124" s="35"/>
      <c r="L124" s="35"/>
      <c r="M124" s="35"/>
      <c r="N124" s="36"/>
      <c r="O124" s="11"/>
    </row>
    <row r="125" ht="15" customHeight="1">
      <c r="A125" t="s" s="33">
        <v>40</v>
      </c>
      <c r="B125" s="35"/>
      <c r="C125" s="142"/>
      <c r="D125" s="41"/>
      <c r="E125" s="41"/>
      <c r="F125" s="41"/>
      <c r="G125" s="147"/>
      <c r="H125" s="35"/>
      <c r="I125" s="35"/>
      <c r="J125" s="35"/>
      <c r="K125" s="35"/>
      <c r="L125" s="35"/>
      <c r="M125" s="35"/>
      <c r="N125" s="36"/>
      <c r="O125" s="11"/>
    </row>
    <row r="126" ht="15" customHeight="1">
      <c r="A126" t="s" s="33">
        <v>41</v>
      </c>
      <c r="B126" s="35"/>
      <c r="C126" s="35"/>
      <c r="D126" s="35"/>
      <c r="E126" s="35"/>
      <c r="F126" s="35"/>
      <c r="G126" s="35"/>
      <c r="H126" s="35"/>
      <c r="I126" s="35"/>
      <c r="J126" s="35"/>
      <c r="K126" s="35"/>
      <c r="L126" s="35"/>
      <c r="M126" s="35"/>
      <c r="N126" s="36"/>
      <c r="O126" s="11"/>
    </row>
    <row r="127" ht="15" customHeight="1">
      <c r="A127" t="s" s="33">
        <v>42</v>
      </c>
      <c r="B127" s="39"/>
      <c r="C127" s="35"/>
      <c r="D127" s="35"/>
      <c r="E127" s="35"/>
      <c r="F127" s="35"/>
      <c r="G127" s="35"/>
      <c r="H127" s="35"/>
      <c r="I127" s="35"/>
      <c r="J127" s="35"/>
      <c r="K127" s="39"/>
      <c r="L127" s="39"/>
      <c r="M127" s="39"/>
      <c r="N127" s="36"/>
      <c r="O127" s="11"/>
    </row>
    <row r="128" ht="15" customHeight="1">
      <c r="A128" t="s" s="33">
        <v>87</v>
      </c>
      <c r="B128" s="39"/>
      <c r="C128" s="35"/>
      <c r="D128" s="35"/>
      <c r="E128" s="35"/>
      <c r="F128" s="35"/>
      <c r="G128" s="35"/>
      <c r="H128" s="35"/>
      <c r="I128" s="35"/>
      <c r="J128" s="35"/>
      <c r="K128" s="39"/>
      <c r="L128" s="39"/>
      <c r="M128" s="17">
        <v>19</v>
      </c>
      <c r="N128" s="36"/>
      <c r="O128" s="11"/>
    </row>
    <row r="129" ht="15" customHeight="1">
      <c r="A129" t="s" s="33">
        <v>88</v>
      </c>
      <c r="B129" s="39"/>
      <c r="C129" s="35"/>
      <c r="D129" s="35"/>
      <c r="E129" s="35"/>
      <c r="F129" s="35"/>
      <c r="G129" s="35"/>
      <c r="H129" s="35"/>
      <c r="I129" s="39"/>
      <c r="J129" s="39"/>
      <c r="K129" s="35"/>
      <c r="L129" s="39"/>
      <c r="M129" s="39"/>
      <c r="N129" s="36"/>
      <c r="O129" s="11"/>
    </row>
    <row r="130" ht="15" customHeight="1">
      <c r="A130" t="s" s="33">
        <v>170</v>
      </c>
      <c r="B130" s="39"/>
      <c r="C130" s="35"/>
      <c r="D130" s="35"/>
      <c r="E130" s="35"/>
      <c r="F130" s="35"/>
      <c r="G130" s="35"/>
      <c r="H130" s="35"/>
      <c r="I130" s="35"/>
      <c r="J130" s="35"/>
      <c r="K130" s="35"/>
      <c r="L130" s="39"/>
      <c r="M130" s="39"/>
      <c r="N130" s="36"/>
      <c r="O130" s="11"/>
    </row>
    <row r="131" ht="15" customHeight="1">
      <c r="A131" t="s" s="33">
        <v>125</v>
      </c>
      <c r="B131" s="39"/>
      <c r="C131" s="35"/>
      <c r="D131" s="35"/>
      <c r="E131" s="35"/>
      <c r="F131" s="35"/>
      <c r="G131" s="35"/>
      <c r="H131" s="35"/>
      <c r="I131" s="35"/>
      <c r="J131" s="35"/>
      <c r="K131" s="35"/>
      <c r="L131" s="39"/>
      <c r="M131" s="39"/>
      <c r="N131" s="36"/>
      <c r="O131" s="11"/>
    </row>
    <row r="132" ht="15" customHeight="1">
      <c r="A132" t="s" s="33">
        <v>33</v>
      </c>
      <c r="B132" s="39"/>
      <c r="C132" s="35"/>
      <c r="D132" s="35"/>
      <c r="E132" s="35"/>
      <c r="F132" s="35"/>
      <c r="G132" s="35"/>
      <c r="H132" s="35"/>
      <c r="I132" s="35"/>
      <c r="J132" s="35"/>
      <c r="K132" s="35"/>
      <c r="L132" s="39"/>
      <c r="M132" s="39"/>
      <c r="N132" s="36"/>
      <c r="O132" s="11"/>
    </row>
    <row r="133" ht="15" customHeight="1">
      <c r="A133" t="s" s="33">
        <v>22</v>
      </c>
      <c r="B133" s="17" cm="1">
        <f t="array" ref="B133">SUM(B124:B132)</f>
        <v>0</v>
      </c>
      <c r="C133" s="17" cm="1">
        <f t="array" ref="C133">SUM(C124:C132)</f>
        <v>0</v>
      </c>
      <c r="D133" s="17" cm="1">
        <f t="array" ref="D133">SUM(D124:D132)</f>
        <v>0</v>
      </c>
      <c r="E133" s="17" cm="1">
        <f t="array" ref="E133">SUM(E124:E132)</f>
        <v>0</v>
      </c>
      <c r="F133" s="17" cm="1">
        <f t="array" ref="F133">SUM(F124:F132)</f>
        <v>0</v>
      </c>
      <c r="G133" s="17" cm="1">
        <f t="array" ref="G133">SUM(G124:G132)</f>
        <v>0</v>
      </c>
      <c r="H133" s="17" cm="1">
        <f t="array" ref="H133">SUM(H124:H132)</f>
        <v>0</v>
      </c>
      <c r="I133" s="17" cm="1">
        <f t="array" ref="I133">SUM(I124:I132)</f>
        <v>0</v>
      </c>
      <c r="J133" s="17" cm="1">
        <f t="array" ref="J133">SUM(J124:J132)</f>
        <v>0</v>
      </c>
      <c r="K133" s="17" cm="1">
        <f t="array" ref="K133">SUM(K124:K132)</f>
        <v>0</v>
      </c>
      <c r="L133" s="17" cm="1">
        <f t="array" ref="L133">SUM(L124:L132)</f>
        <v>0</v>
      </c>
      <c r="M133" s="17" cm="1">
        <f t="array" ref="M133">SUM(M124:M132)</f>
        <v>19</v>
      </c>
      <c r="N133" s="36"/>
      <c r="O133" s="11"/>
    </row>
    <row r="134" ht="15" customHeight="1">
      <c r="A134" s="89"/>
      <c r="B134" s="89"/>
      <c r="C134" s="69"/>
      <c r="D134" s="30"/>
      <c r="E134" s="30"/>
      <c r="F134" s="30"/>
      <c r="G134" s="30"/>
      <c r="H134" s="30"/>
      <c r="I134" s="30"/>
      <c r="J134" s="30"/>
      <c r="K134" s="30"/>
      <c r="L134" s="30"/>
      <c r="M134" s="30"/>
      <c r="N134" s="11"/>
      <c r="O134" s="11"/>
    </row>
    <row r="135" ht="15" customHeight="1">
      <c r="A135" s="12"/>
      <c r="B135" s="12"/>
      <c r="C135" s="113"/>
      <c r="D135" s="11"/>
      <c r="E135" s="11"/>
      <c r="F135" s="11"/>
      <c r="G135" s="11"/>
      <c r="H135" s="11"/>
      <c r="I135" s="11"/>
      <c r="J135" s="11"/>
      <c r="K135" s="11"/>
      <c r="L135" s="11"/>
      <c r="M135" s="11"/>
      <c r="N135" s="11"/>
      <c r="O135" s="11"/>
    </row>
    <row r="136" ht="15" customHeight="1">
      <c r="A136" s="12"/>
      <c r="B136" s="12"/>
      <c r="C136" s="113"/>
      <c r="D136" s="11"/>
      <c r="E136" s="11"/>
      <c r="F136" s="11"/>
      <c r="G136" s="11"/>
      <c r="H136" s="11"/>
      <c r="I136" s="11"/>
      <c r="J136" s="11"/>
      <c r="K136" s="11"/>
      <c r="L136" s="11"/>
      <c r="M136" s="11"/>
      <c r="N136" s="11"/>
      <c r="O136" s="11"/>
    </row>
    <row r="137" ht="15" customHeight="1">
      <c r="A137" s="12"/>
      <c r="B137" s="12"/>
      <c r="C137" s="113"/>
      <c r="D137" s="11"/>
      <c r="E137" s="11"/>
      <c r="F137" s="11"/>
      <c r="G137" s="11"/>
      <c r="H137" s="11"/>
      <c r="I137" s="11"/>
      <c r="J137" s="11"/>
      <c r="K137" s="11"/>
      <c r="L137" s="11"/>
      <c r="M137" s="11"/>
      <c r="N137" s="11"/>
      <c r="O137" s="11"/>
    </row>
    <row r="138" ht="15" customHeight="1">
      <c r="A138" s="12"/>
      <c r="B138" s="12"/>
      <c r="C138" s="12"/>
      <c r="D138" s="11"/>
      <c r="E138" s="11"/>
      <c r="F138" s="11"/>
      <c r="G138" s="11"/>
      <c r="H138" s="11"/>
      <c r="I138" s="11"/>
      <c r="J138" s="11"/>
      <c r="K138" s="11"/>
      <c r="L138" s="11"/>
      <c r="M138" s="11"/>
      <c r="N138" s="11"/>
      <c r="O138" s="11"/>
    </row>
    <row r="139" ht="15" customHeight="1">
      <c r="A139" s="12"/>
      <c r="B139" s="11"/>
      <c r="C139" s="11"/>
      <c r="D139" s="11"/>
      <c r="E139" s="11"/>
      <c r="F139" s="11"/>
      <c r="G139" s="11"/>
      <c r="H139" s="11"/>
      <c r="I139" s="11"/>
      <c r="J139" s="11"/>
      <c r="K139" s="11"/>
      <c r="L139" s="11"/>
      <c r="M139" s="11"/>
      <c r="N139" s="11"/>
      <c r="O139" s="11"/>
    </row>
    <row r="140" ht="15" customHeight="1">
      <c r="A140" s="11"/>
      <c r="B140" s="11"/>
      <c r="C140" s="11"/>
      <c r="D140" s="11"/>
      <c r="E140" s="11"/>
      <c r="F140" s="11"/>
      <c r="G140" s="11"/>
      <c r="H140" s="11"/>
      <c r="I140" s="11"/>
      <c r="J140" s="11"/>
      <c r="K140" s="11"/>
      <c r="L140" s="11"/>
      <c r="M140" s="11"/>
      <c r="N140" s="11"/>
      <c r="O140" s="11"/>
    </row>
    <row r="141" ht="15" customHeight="1">
      <c r="A141" s="16"/>
      <c r="B141" s="16"/>
      <c r="C141" s="16"/>
      <c r="D141" s="11"/>
      <c r="E141" s="11"/>
      <c r="F141" s="11"/>
      <c r="G141" s="11"/>
      <c r="H141" s="11"/>
      <c r="I141" s="11"/>
      <c r="J141" s="11"/>
      <c r="K141" s="11"/>
      <c r="L141" s="11"/>
      <c r="M141" s="11"/>
      <c r="N141" s="11"/>
      <c r="O141" s="11"/>
    </row>
    <row r="142" ht="15" customHeight="1">
      <c r="A142" s="12"/>
      <c r="B142" s="12"/>
      <c r="C142" s="113"/>
      <c r="D142" s="11"/>
      <c r="E142" s="11"/>
      <c r="F142" s="11"/>
      <c r="G142" s="11"/>
      <c r="H142" s="11"/>
      <c r="I142" s="11"/>
      <c r="J142" s="11"/>
      <c r="K142" s="11"/>
      <c r="L142" s="11"/>
      <c r="M142" s="11"/>
      <c r="N142" s="11"/>
      <c r="O142" s="11"/>
    </row>
    <row r="143" ht="15" customHeight="1">
      <c r="A143" s="12"/>
      <c r="B143" s="12"/>
      <c r="C143" s="113"/>
      <c r="D143" s="11"/>
      <c r="E143" s="11"/>
      <c r="F143" s="11"/>
      <c r="G143" s="11"/>
      <c r="H143" s="11"/>
      <c r="I143" s="11"/>
      <c r="J143" s="11"/>
      <c r="K143" s="11"/>
      <c r="L143" s="11"/>
      <c r="M143" s="11"/>
      <c r="N143" s="11"/>
      <c r="O143" s="11"/>
    </row>
    <row r="144" ht="15" customHeight="1">
      <c r="A144" s="12"/>
      <c r="B144" s="12"/>
      <c r="C144" s="113"/>
      <c r="D144" s="11"/>
      <c r="E144" s="11"/>
      <c r="F144" s="11"/>
      <c r="G144" s="11"/>
      <c r="H144" s="11"/>
      <c r="I144" s="11"/>
      <c r="J144" s="11"/>
      <c r="K144" s="11"/>
      <c r="L144" s="11"/>
      <c r="M144" s="11"/>
      <c r="N144" s="11"/>
      <c r="O144" s="11"/>
    </row>
    <row r="145" ht="15" customHeight="1">
      <c r="A145" s="12"/>
      <c r="B145" s="12"/>
      <c r="C145" s="113"/>
      <c r="D145" s="11"/>
      <c r="E145" s="11"/>
      <c r="F145" s="11"/>
      <c r="G145" s="11"/>
      <c r="H145" s="11"/>
      <c r="I145" s="11"/>
      <c r="J145" s="11"/>
      <c r="K145" s="11"/>
      <c r="L145" s="11"/>
      <c r="M145" s="11"/>
      <c r="N145" s="11"/>
      <c r="O145" s="11"/>
    </row>
    <row r="146" ht="15" customHeight="1">
      <c r="A146" s="12"/>
      <c r="B146" s="12"/>
      <c r="C146" s="113"/>
      <c r="D146" s="11"/>
      <c r="E146" s="11"/>
      <c r="F146" s="11"/>
      <c r="G146" s="11"/>
      <c r="H146" s="11"/>
      <c r="I146" s="11"/>
      <c r="J146" s="11"/>
      <c r="K146" s="11"/>
      <c r="L146" s="11"/>
      <c r="M146" s="11"/>
      <c r="N146" s="11"/>
      <c r="O146" s="11"/>
    </row>
    <row r="147" ht="15" customHeight="1">
      <c r="A147" s="12"/>
      <c r="B147" s="12"/>
      <c r="C147" s="113"/>
      <c r="D147" s="11"/>
      <c r="E147" s="11"/>
      <c r="F147" s="11"/>
      <c r="G147" s="11"/>
      <c r="H147" s="11"/>
      <c r="I147" s="11"/>
      <c r="J147" s="11"/>
      <c r="K147" s="11"/>
      <c r="L147" s="11"/>
      <c r="M147" s="11"/>
      <c r="N147" s="11"/>
      <c r="O147" s="11"/>
    </row>
    <row r="148" ht="15" customHeight="1">
      <c r="A148" s="12"/>
      <c r="B148" s="12"/>
      <c r="C148" s="113"/>
      <c r="D148" s="11"/>
      <c r="E148" s="11"/>
      <c r="F148" s="11"/>
      <c r="G148" s="11"/>
      <c r="H148" s="11"/>
      <c r="I148" s="11"/>
      <c r="J148" s="11"/>
      <c r="K148" s="11"/>
      <c r="L148" s="11"/>
      <c r="M148" s="11"/>
      <c r="N148" s="11"/>
      <c r="O148" s="11"/>
    </row>
    <row r="149" ht="15" customHeight="1">
      <c r="A149" s="12"/>
      <c r="B149" s="12"/>
      <c r="C149" s="113"/>
      <c r="D149" s="11"/>
      <c r="E149" s="11"/>
      <c r="F149" s="11"/>
      <c r="G149" s="11"/>
      <c r="H149" s="11"/>
      <c r="I149" s="11"/>
      <c r="J149" s="11"/>
      <c r="K149" s="11"/>
      <c r="L149" s="11"/>
      <c r="M149" s="11"/>
      <c r="N149" s="11"/>
      <c r="O149" s="11"/>
    </row>
    <row r="150" ht="15" customHeight="1">
      <c r="A150" s="12"/>
      <c r="B150" s="12"/>
      <c r="C150" s="12"/>
      <c r="D150" s="11"/>
      <c r="E150" s="11"/>
      <c r="F150" s="11"/>
      <c r="G150" s="11"/>
      <c r="H150" s="11"/>
      <c r="I150" s="11"/>
      <c r="J150" s="11"/>
      <c r="K150" s="11"/>
      <c r="L150" s="11"/>
      <c r="M150" s="11"/>
      <c r="N150" s="11"/>
      <c r="O150" s="11"/>
    </row>
    <row r="151" ht="15" customHeight="1">
      <c r="A151" s="11"/>
      <c r="B151" s="11"/>
      <c r="C151" s="11"/>
      <c r="D151" s="11"/>
      <c r="E151" s="11"/>
      <c r="F151" s="11"/>
      <c r="G151" s="11"/>
      <c r="H151" s="11"/>
      <c r="I151" s="11"/>
      <c r="J151" s="11"/>
      <c r="K151" s="11"/>
      <c r="L151" s="11"/>
      <c r="M151" s="11"/>
      <c r="N151" s="11"/>
      <c r="O151" s="11"/>
    </row>
    <row r="152" ht="15" customHeight="1">
      <c r="A152" s="11"/>
      <c r="B152" s="11"/>
      <c r="C152" s="11"/>
      <c r="D152" s="11"/>
      <c r="E152" s="11"/>
      <c r="F152" s="11"/>
      <c r="G152" s="11"/>
      <c r="H152" s="11"/>
      <c r="I152" s="11"/>
      <c r="J152" s="11"/>
      <c r="K152" s="11"/>
      <c r="L152" s="11"/>
      <c r="M152" s="11"/>
      <c r="N152" s="11"/>
      <c r="O152" s="11"/>
    </row>
    <row r="153" ht="15" customHeight="1">
      <c r="A153" s="11"/>
      <c r="B153" s="11"/>
      <c r="C153" s="11"/>
      <c r="D153" s="11"/>
      <c r="E153" s="11"/>
      <c r="F153" s="11"/>
      <c r="G153" s="11"/>
      <c r="H153" s="11"/>
      <c r="I153" s="11"/>
      <c r="J153" s="11"/>
      <c r="K153" s="11"/>
      <c r="L153" s="11"/>
      <c r="M153" s="11"/>
      <c r="N153" s="11"/>
      <c r="O153" s="11"/>
    </row>
    <row r="154" ht="15" customHeight="1">
      <c r="A154" s="11"/>
      <c r="B154" s="11"/>
      <c r="C154" s="11"/>
      <c r="D154" s="11"/>
      <c r="E154" s="11"/>
      <c r="F154" s="11"/>
      <c r="G154" s="11"/>
      <c r="H154" s="11"/>
      <c r="I154" s="11"/>
      <c r="J154" s="11"/>
      <c r="K154" s="11"/>
      <c r="L154" s="11"/>
      <c r="M154" s="11"/>
      <c r="N154" s="11"/>
      <c r="O154" s="11"/>
    </row>
    <row r="155" ht="15" customHeight="1">
      <c r="A155" s="11"/>
      <c r="B155" s="11"/>
      <c r="C155" s="11"/>
      <c r="D155" s="11"/>
      <c r="E155" s="11"/>
      <c r="F155" s="11"/>
      <c r="G155" s="11"/>
      <c r="H155" s="11"/>
      <c r="I155" s="11"/>
      <c r="J155" s="11"/>
      <c r="K155" s="11"/>
      <c r="L155" s="11"/>
      <c r="M155" s="11"/>
      <c r="N155" s="11"/>
      <c r="O155" s="11"/>
    </row>
    <row r="156" ht="15" customHeight="1">
      <c r="A156" s="11"/>
      <c r="B156" s="11"/>
      <c r="C156" s="11"/>
      <c r="D156" s="11"/>
      <c r="E156" s="11"/>
      <c r="F156" s="11"/>
      <c r="G156" s="11"/>
      <c r="H156" s="11"/>
      <c r="I156" s="11"/>
      <c r="J156" s="11"/>
      <c r="K156" s="11"/>
      <c r="L156" s="11"/>
      <c r="M156" s="11"/>
      <c r="N156" s="11"/>
      <c r="O156" s="11"/>
    </row>
    <row r="157" ht="15" customHeight="1">
      <c r="A157" s="11"/>
      <c r="B157" s="11"/>
      <c r="C157" s="11"/>
      <c r="D157" s="11"/>
      <c r="E157" s="11"/>
      <c r="F157" s="11"/>
      <c r="G157" s="11"/>
      <c r="H157" s="11"/>
      <c r="I157" s="11"/>
      <c r="J157" s="11"/>
      <c r="K157" s="11"/>
      <c r="L157" s="11"/>
      <c r="M157" s="11"/>
      <c r="N157" s="11"/>
      <c r="O157" s="11"/>
    </row>
    <row r="158" ht="15" customHeight="1">
      <c r="A158" s="11"/>
      <c r="B158" s="11"/>
      <c r="C158" s="11"/>
      <c r="D158" s="11"/>
      <c r="E158" s="11"/>
      <c r="F158" s="11"/>
      <c r="G158" s="11"/>
      <c r="H158" s="11"/>
      <c r="I158" s="11"/>
      <c r="J158" s="11"/>
      <c r="K158" s="11"/>
      <c r="L158" s="11"/>
      <c r="M158" s="11"/>
      <c r="N158" s="11"/>
      <c r="O158" s="11"/>
    </row>
    <row r="159" ht="15" customHeight="1">
      <c r="A159" s="11"/>
      <c r="B159" s="11"/>
      <c r="C159" s="11"/>
      <c r="D159" s="11"/>
      <c r="E159" s="11"/>
      <c r="F159" s="11"/>
      <c r="G159" s="11"/>
      <c r="H159" s="11"/>
      <c r="I159" s="11"/>
      <c r="J159" s="11"/>
      <c r="K159" s="11"/>
      <c r="L159" s="11"/>
      <c r="M159" s="11"/>
      <c r="N159" s="11"/>
      <c r="O159" s="11"/>
    </row>
  </sheetData>
  <mergeCells count="4">
    <mergeCell ref="A1:M1"/>
    <mergeCell ref="A2:M2"/>
    <mergeCell ref="A28:M28"/>
    <mergeCell ref="A29:M29"/>
  </mergeCells>
  <pageMargins left="0.75" right="0.75" top="1" bottom="1" header="0.5" footer="0.5"/>
  <pageSetup firstPageNumber="1" fitToHeight="1" fitToWidth="1" scale="100" useFirstPageNumber="0" orientation="portrait" pageOrder="downThenOver"/>
  <headerFooter>
    <oddFooter>&amp;C&amp;"Helvetica,Regular"&amp;12&amp;K000000&amp;P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